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waynesankey/Documents/audio/dac3/docs/"/>
    </mc:Choice>
  </mc:AlternateContent>
  <xr:revisionPtr revIDLastSave="0" documentId="13_ncr:1_{8B23561E-CE60-3741-8C64-7D2EC1818F16}" xr6:coauthVersionLast="47" xr6:coauthVersionMax="47" xr10:uidLastSave="{00000000-0000-0000-0000-000000000000}"/>
  <bookViews>
    <workbookView xWindow="11080" yWindow="1860" windowWidth="39620" windowHeight="29040" tabRatio="500" activeTab="1" xr2:uid="{00000000-000D-0000-FFFF-FFFF00000000}"/>
  </bookViews>
  <sheets>
    <sheet name="Parts List" sheetId="1" r:id="rId1"/>
    <sheet name="Prototype" sheetId="2" r:id="rId2"/>
    <sheet name="Summary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28" i="2" l="1"/>
  <c r="E54" i="3"/>
  <c r="B54" i="3"/>
  <c r="A54" i="3"/>
  <c r="C41" i="3"/>
  <c r="B41" i="3"/>
  <c r="B40" i="3"/>
  <c r="B39" i="3"/>
  <c r="B38" i="3"/>
  <c r="B37" i="3"/>
  <c r="C36" i="3"/>
  <c r="B36" i="3"/>
  <c r="C35" i="3"/>
  <c r="B35" i="3"/>
  <c r="B34" i="3"/>
  <c r="C33" i="3"/>
  <c r="B33" i="3"/>
  <c r="C29" i="3"/>
  <c r="B29" i="3"/>
  <c r="B28" i="3"/>
  <c r="B27" i="3"/>
  <c r="B26" i="3"/>
  <c r="B25" i="3"/>
  <c r="B24" i="3"/>
  <c r="B23" i="3"/>
  <c r="B22" i="3"/>
  <c r="B21" i="3"/>
  <c r="B20" i="3"/>
  <c r="C16" i="3"/>
  <c r="B16" i="3"/>
  <c r="C15" i="3"/>
  <c r="B15" i="3"/>
  <c r="C14" i="3"/>
  <c r="B14" i="3"/>
  <c r="C13" i="3"/>
  <c r="B13" i="3"/>
  <c r="C12" i="3"/>
  <c r="B12" i="3"/>
  <c r="C11" i="3"/>
  <c r="B11" i="3"/>
  <c r="B10" i="3"/>
  <c r="B9" i="3"/>
  <c r="B8" i="3"/>
  <c r="E4" i="3"/>
  <c r="B4" i="3"/>
  <c r="A4" i="3"/>
  <c r="H53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H58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C28" i="3" s="1"/>
  <c r="J24" i="1"/>
  <c r="J23" i="1"/>
  <c r="J22" i="1"/>
  <c r="C27" i="3" s="1"/>
  <c r="J21" i="1"/>
  <c r="C40" i="3" s="1"/>
  <c r="J20" i="1"/>
  <c r="J19" i="1"/>
  <c r="C26" i="3" s="1"/>
  <c r="J18" i="1"/>
  <c r="J17" i="1"/>
  <c r="J16" i="1"/>
  <c r="C25" i="3" s="1"/>
  <c r="J15" i="1"/>
  <c r="J14" i="1"/>
  <c r="C24" i="3" s="1"/>
  <c r="J13" i="1"/>
  <c r="C38" i="3" s="1"/>
  <c r="J12" i="1"/>
  <c r="C23" i="3" s="1"/>
  <c r="J11" i="1"/>
  <c r="J10" i="1"/>
  <c r="J9" i="1"/>
  <c r="C22" i="3" s="1"/>
  <c r="J8" i="1"/>
  <c r="J7" i="1"/>
  <c r="J6" i="1"/>
  <c r="J5" i="1"/>
  <c r="C20" i="3" s="1"/>
  <c r="D54" i="3" l="1"/>
  <c r="C34" i="3"/>
  <c r="C8" i="3"/>
  <c r="C21" i="3"/>
  <c r="C39" i="3"/>
  <c r="C9" i="3"/>
  <c r="J53" i="2"/>
  <c r="J58" i="1"/>
  <c r="C10" i="3"/>
  <c r="C4" i="3"/>
  <c r="D4" i="3" s="1"/>
  <c r="C37" i="3"/>
  <c r="C54" i="3"/>
</calcChain>
</file>

<file path=xl/sharedStrings.xml><?xml version="1.0" encoding="utf-8"?>
<sst xmlns="http://schemas.openxmlformats.org/spreadsheetml/2006/main" count="368" uniqueCount="197">
  <si>
    <t>DAC3 Prototype — Bill of Materials</t>
  </si>
  <si>
    <t>Project status snapshot — totals roll up from the rows below; see the Summary tab for breakdowns.</t>
  </si>
  <si>
    <t>#</t>
  </si>
  <si>
    <t>Subsystem</t>
  </si>
  <si>
    <t>Part Number</t>
  </si>
  <si>
    <t>Description</t>
  </si>
  <si>
    <t>Vendor</t>
  </si>
  <si>
    <t>Mfr part #</t>
  </si>
  <si>
    <t>JLCPCB part #</t>
  </si>
  <si>
    <t>Qty</t>
  </si>
  <si>
    <t>Unit Price</t>
  </si>
  <si>
    <t>Total</t>
  </si>
  <si>
    <t>Status</t>
  </si>
  <si>
    <t>Order Date</t>
  </si>
  <si>
    <t>Notes</t>
  </si>
  <si>
    <t>FPGA</t>
  </si>
  <si>
    <t>Cmod A7-35T</t>
  </si>
  <si>
    <t>Artix-7 XC7A35T module (testbed + final converter)</t>
  </si>
  <si>
    <t>Digilent</t>
  </si>
  <si>
    <t>Selected</t>
  </si>
  <si>
    <t>Selected for GTP transceivers; eliminates external PHY</t>
  </si>
  <si>
    <t>Switch</t>
  </si>
  <si>
    <t>PMV16XN</t>
  </si>
  <si>
    <t>N-ch MOSFET, SOT-23, Vth=0.4V, Ron=80mΩ</t>
  </si>
  <si>
    <t>Mouser</t>
  </si>
  <si>
    <t>56 MOSFETs × 4 modules = 224; sign-magnitude balanced</t>
  </si>
  <si>
    <t>ICL7660</t>
  </si>
  <si>
    <t>Charge pump for negative rail level shifter</t>
  </si>
  <si>
    <t>Shared across all 28 negative-side signals</t>
  </si>
  <si>
    <t>74LVCH16T245</t>
  </si>
  <si>
    <t>16-bit level shifter (negative-side)</t>
  </si>
  <si>
    <t>Two devices feed the 28 negative-side gates</t>
  </si>
  <si>
    <t>Vref</t>
  </si>
  <si>
    <t>LT3042</t>
  </si>
  <si>
    <t>Positive precision LDO, 0.8nV/√Hz, trimmed to +2.5V</t>
  </si>
  <si>
    <t>Standalone positive Vref</t>
  </si>
  <si>
    <t>LT3094</t>
  </si>
  <si>
    <t>Negative precision LDO, 2nV/√Hz, trimmed to −2.5V</t>
  </si>
  <si>
    <t>Standalone negative Vref</t>
  </si>
  <si>
    <t>LT6657-2.5</t>
  </si>
  <si>
    <t>2.5V metrology reference (FPGA ADC calibration)</t>
  </si>
  <si>
    <t>Reserved for calibration only; NOT in supply path</t>
  </si>
  <si>
    <t>PSU</t>
  </si>
  <si>
    <t>LT3080</t>
  </si>
  <si>
    <t>Adjustable LDO, TO-263 (0.8nV/√Hz)</t>
  </si>
  <si>
    <t>Candidate</t>
  </si>
  <si>
    <t>5× 3-terminal regs in PSU chassis (±Vref L/R + digital)</t>
  </si>
  <si>
    <t>Toroidal transformer</t>
  </si>
  <si>
    <t>Custom toroid for PSU chassis (CLCLC filter)</t>
  </si>
  <si>
    <t>Plitron</t>
  </si>
  <si>
    <t>Pending</t>
  </si>
  <si>
    <t>AC primary → CLCLC → linear regs</t>
  </si>
  <si>
    <t>R-2R Ladder</t>
  </si>
  <si>
    <t>Precision resistor 150Ω</t>
  </si>
  <si>
    <t>Thin-film precision R, R=150Ω (R-2R ladder)</t>
  </si>
  <si>
    <t>Ladder R=150Ω; quantity per 4× 16-bit modules</t>
  </si>
  <si>
    <t>74HC595</t>
  </si>
  <si>
    <t>8-bit shift register (testbed v2 only)</t>
  </si>
  <si>
    <t>Testbed v2 R-2R modules; final build uses PMV16XN direct drive</t>
  </si>
  <si>
    <t>Output</t>
  </si>
  <si>
    <t>Mute relay</t>
  </si>
  <si>
    <t>DPDT signal relay for output mute on power transient</t>
  </si>
  <si>
    <t>Shorts output to GND during power-up/down; RC-delayed ~2-3s release</t>
  </si>
  <si>
    <t>Output filter caps</t>
  </si>
  <si>
    <t>3–5nF shunt cap for 2nd-order RC filter (pole ~100kHz)</t>
  </si>
  <si>
    <t>75Ω ladder Thevenin + 150–220Ω series + this cap</t>
  </si>
  <si>
    <t>Output filter R</t>
  </si>
  <si>
    <t>150–220Ω series resistor (2nd-order RC filter)</t>
  </si>
  <si>
    <t>Pairs with shunt cap above</t>
  </si>
  <si>
    <t>Connectors</t>
  </si>
  <si>
    <t>61301221821</t>
  </si>
  <si>
    <t>Wurth WR-PHD socket, 12-pin 2-row, 2.54mm</t>
  </si>
  <si>
    <t>Module-to-motherboard sockets; 2 per module × 8 modules</t>
  </si>
  <si>
    <t>61301221021</t>
  </si>
  <si>
    <t>Wurth WR-PHD right-angle header, 12-pin 2-row, 2.54mm</t>
  </si>
  <si>
    <t>Mating header for module board edge</t>
  </si>
  <si>
    <t>Lemo cable + connectors</t>
  </si>
  <si>
    <t>PSU → converter chassis power cable</t>
  </si>
  <si>
    <t>Lemo</t>
  </si>
  <si>
    <t>Shield bonded both ends; carries ±Vref + digital rails</t>
  </si>
  <si>
    <t>Inputs</t>
  </si>
  <si>
    <t>BNC connector</t>
  </si>
  <si>
    <t>75Ω BNC for S/PDIF coax input + Transporter clock out</t>
  </si>
  <si>
    <t>Coax in + clock out</t>
  </si>
  <si>
    <t>Toslink receiver</t>
  </si>
  <si>
    <t>Optical receiver module (Toslink, ~1 FPGA I/O pin)</t>
  </si>
  <si>
    <t>Decoded entirely in FPGA</t>
  </si>
  <si>
    <t>RCA output jacks</t>
  </si>
  <si>
    <t>Audiophile-grade RCA output (DC coupled)</t>
  </si>
  <si>
    <t>L/R output to preamp</t>
  </si>
  <si>
    <t>Chassis</t>
  </si>
  <si>
    <t>Aluminum enclosure</t>
  </si>
  <si>
    <t>Converter chassis (TBD dimensions)</t>
  </si>
  <si>
    <t>Hammond</t>
  </si>
  <si>
    <t>No earth return path — Lemo shield is only earth</t>
  </si>
  <si>
    <t>PSU chassis (TBD dimensions)</t>
  </si>
  <si>
    <t>Houses AC, transformer, CLCLC, linear regs</t>
  </si>
  <si>
    <t>TOTAL</t>
  </si>
  <si>
    <t>DAC3 Prototype Build — Sign-Magnitude SE, 21-bit, 4 Converter Primitives</t>
  </si>
  <si>
    <t>Soekris-style: 4 ladders (R+, R-, L+, L-) × 21 bits. Single-value 1.00kΩ 0.01% topology — 1× resistor as the 2R rung, 2× resistors in parallel as the R series link. Ratio 1:2 by construction, R_ladder=500Ω. 3× 74LVC595 per ladder, 7-of-8 outputs used. Validates FPGA chain &amp; analog stage before the full Cascade build.</t>
  </si>
  <si>
    <t>Artix-7 XC7A35T module (shared platform w/ final build)</t>
  </si>
  <si>
    <t>8-bit serial shift register, low-Ron (~25Ω @ 3V), TSSOP-16</t>
  </si>
  <si>
    <t>Mouser or JLCPCB</t>
  </si>
  <si>
    <t>3 per converter × 4 = 12; 7 of 8 outputs used (Denafrips-style)</t>
  </si>
  <si>
    <t>R 1.00kΩ 0.01% — single value</t>
  </si>
  <si>
    <t>Thin-film precision, 1.00kΩ, 0.01% (e.g. Vishay TX2575 / Susumu RG). Used as: 2R rung (single) + R series link (2 in parallel = 500Ω). Ratio exact by construction.</t>
  </si>
  <si>
    <t>Mouser / JLCPCB consign</t>
  </si>
  <si>
    <t>Per ladder: 21 single-2R + 21 paired-R (42 parts) = 63 parts. ×4 ladders = 252.</t>
  </si>
  <si>
    <t>R 1.00kΩ 0.01% — match spares</t>
  </si>
  <si>
    <t>Hand-match spares for binning MSB rungs into precision pairs</t>
  </si>
  <si>
    <t>~20% spare allowance for MSB hand-matching; bench-bin into ≤5ppm pairs before assembly</t>
  </si>
  <si>
    <t>R 1.00kΩ 0.02% (alt)</t>
  </si>
  <si>
    <t>Fallback at 0.02% if 0.01% consignment logistics prove painful</t>
  </si>
  <si>
    <t>JLCPCB</t>
  </si>
  <si>
    <t>Cancelled</t>
  </si>
  <si>
    <t>Direct from JLCPCB catalog; same single-value topology, same qty 252+48 if used</t>
  </si>
  <si>
    <t>Positive precision LDO, 0.8nV/√Hz, +2.5V — 595 Vcc for +ladders</t>
  </si>
  <si>
    <t>Powers Vcc of 595s on R+/L+ ladders</t>
  </si>
  <si>
    <t>Negative precision LDO, 2nV/√Hz, −2.5V — 595 Vcc for −ladders</t>
  </si>
  <si>
    <t>Inverted rail for R−/L− ladders</t>
  </si>
  <si>
    <t>2.5V metrology reference (FPGA ADC calibration only)</t>
  </si>
  <si>
    <t>NOT in supply path — calibration reference</t>
  </si>
  <si>
    <t>Analog</t>
  </si>
  <si>
    <t>OPA1612 (or eq.)</t>
  </si>
  <si>
    <t>Audio op-amp for I/V or buffer stage</t>
  </si>
  <si>
    <t>One per converter primitive; selection TBD</t>
  </si>
  <si>
    <t>Diff-to-SE summer</t>
  </si>
  <si>
    <t>Op-amp + matched Rs for R+ minus R− (single-ended output)</t>
  </si>
  <si>
    <t>One per channel; sums sign-magnitude to SE</t>
  </si>
  <si>
    <t>DPDT signal relay, RC-delayed release (~2-3s)</t>
  </si>
  <si>
    <t>Protects downstream 4P1L tube from startup transients</t>
  </si>
  <si>
    <t>Output filter cap</t>
  </si>
  <si>
    <t>3-5nF shunt, 2nd-order RC, pole ~100kHz</t>
  </si>
  <si>
    <t>One per channel (SE output)</t>
  </si>
  <si>
    <t>150-220Ω series for 2nd-order RC filter</t>
  </si>
  <si>
    <t>Pairs with shunt cap</t>
  </si>
  <si>
    <t>Audiophile RCA, DC-coupled</t>
  </si>
  <si>
    <t>L/R single-ended out</t>
  </si>
  <si>
    <t>75Ω BNC for S/PDIF coax in (+ optional clock out)</t>
  </si>
  <si>
    <t>Coax in + clock out (Transporter lock)</t>
  </si>
  <si>
    <t>Optical receiver module, ~1 FPGA I/O pin</t>
  </si>
  <si>
    <t>FPGA decodes — no receiver IC</t>
  </si>
  <si>
    <t>Custom toroid, single-chassis size</t>
  </si>
  <si>
    <t>Smaller than final 3-chassis build</t>
  </si>
  <si>
    <t>LT3080 / LT1963</t>
  </si>
  <si>
    <t>Adjustable LDO, TO-263 — pre-reg before LT3042/LT3094</t>
  </si>
  <si>
    <t>Pre-regulation stage</t>
  </si>
  <si>
    <t>CLC filter caps + L</t>
  </si>
  <si>
    <t>Pre-LDO filtering caps and inductors</t>
  </si>
  <si>
    <t>Bulk PSU smoothing</t>
  </si>
  <si>
    <t>PCB</t>
  </si>
  <si>
    <t>Main board PCBA</t>
  </si>
  <si>
    <t>Custom 4-layer board, JLCPCB PCBA with consigned resistors</t>
  </si>
  <si>
    <t>Single-board prototype; resistors consigned</t>
  </si>
  <si>
    <t>Single chassis (Hammond or similar)</t>
  </si>
  <si>
    <t>Replaces 3-chassis Cascade build</t>
  </si>
  <si>
    <t>Cmod A7 headers</t>
  </si>
  <si>
    <t>2.54mm 24-pin headers for Cmod A7-35T board edge</t>
  </si>
  <si>
    <t>FPGA module-to-main-PCB mating</t>
  </si>
  <si>
    <t>DAC3 Prototype — Summary</t>
  </si>
  <si>
    <t>Line items</t>
  </si>
  <si>
    <t>Total parts (qty)</t>
  </si>
  <si>
    <t>Project cost</t>
  </si>
  <si>
    <t>Avg unit price</t>
  </si>
  <si>
    <t>Vendors used</t>
  </si>
  <si>
    <t>By Status</t>
  </si>
  <si>
    <t>Cost</t>
  </si>
  <si>
    <t>Quoted</t>
  </si>
  <si>
    <t>Ordered</t>
  </si>
  <si>
    <t>Received</t>
  </si>
  <si>
    <t>Installed</t>
  </si>
  <si>
    <t>Tested</t>
  </si>
  <si>
    <t>By Subsystem</t>
  </si>
  <si>
    <t>Misc</t>
  </si>
  <si>
    <t>By Vendor</t>
  </si>
  <si>
    <t>LCSC</t>
  </si>
  <si>
    <t>Digi-Key</t>
  </si>
  <si>
    <t>Other</t>
  </si>
  <si>
    <t>How to use this workbook</t>
  </si>
  <si>
    <t>• Add a part: fill the next blank row on Parts List. Subsystem and Status both have dropdowns.</t>
  </si>
  <si>
    <t>• Total column auto-calculates from Qty × Unit Price; blank rows stay empty until you fill them in.</t>
  </si>
  <si>
    <t>• JLCPCB part # column is for LCSC C-codes (e.g. C2058) used when ordering from JLCPCB.</t>
  </si>
  <si>
    <t>• All Summary metrics recalculate automatically — no manual updates needed.</t>
  </si>
  <si>
    <t>• Seed rows reflect components from your build notes; update prices, part #s, and order dates as you go.</t>
  </si>
  <si>
    <t>Prototype build — quick totals</t>
  </si>
  <si>
    <t>C426713</t>
  </si>
  <si>
    <t>Good capability for proto motherboard and all peripherals on-board and working.</t>
  </si>
  <si>
    <t>SN74LVC595APW,118</t>
  </si>
  <si>
    <t>R 499 ohms 0.01% - single value</t>
  </si>
  <si>
    <t>Thin Film Resistors - SMD 499Ohms 0603 5ppm 0.01% Precision AEC-Q200</t>
  </si>
  <si>
    <t>708-RNCF0603TKY499R</t>
  </si>
  <si>
    <t>2R ladder rungs made from 2x series R - better for layout, other reasons.</t>
  </si>
  <si>
    <t>Ladder Trim</t>
  </si>
  <si>
    <t>C25077</t>
  </si>
  <si>
    <t>R 10 ohms 1%</t>
  </si>
  <si>
    <t>R 10 ohms 1%, 0402 -55℃~+155℃ 10Ω 50V 62.5mW Thick Film Resistor ±1% ±200ppm/℃ 0402 Chip Resistor - Surface Mount ROHS</t>
  </si>
  <si>
    <t>Use on 8 msbs to get most of the benefit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</si>
</sst>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;[Red]&quot;($&quot;#,##0.00\);\-"/>
    <numFmt numFmtId="165" formatCode="yyyy\-mm\-dd"/>
  </numFmts>
  <fonts count="13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6"/>
      <color rgb="FFFFFFFF"/>
      <name val="Arial"/>
      <family val="2"/>
    </font>
    <font>
      <i/>
      <sz val="10"/>
      <color rgb="FF595959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0"/>
      <color rgb="FFFFFFFF"/>
      <name val="Arial"/>
      <family val="2"/>
    </font>
    <font>
      <b/>
      <sz val="14"/>
      <name val="Arial"/>
      <family val="2"/>
    </font>
    <font>
      <b/>
      <sz val="12"/>
      <color rgb="FFFFFFFF"/>
      <name val="Arial"/>
      <family val="2"/>
    </font>
    <font>
      <sz val="14"/>
      <color rgb="FF222222"/>
      <name val="Microsoft YaHei"/>
      <family val="2"/>
      <charset val="134"/>
    </font>
    <font>
      <sz val="10"/>
      <color rgb="FF333333"/>
      <name val="Arial"/>
      <family val="2"/>
    </font>
    <font>
      <sz val="10"/>
      <color rgb="FF22222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1F4E78"/>
        <bgColor rgb="FF003366"/>
      </patternFill>
    </fill>
    <fill>
      <patternFill patternType="solid">
        <fgColor rgb="FFEAF2F8"/>
        <bgColor rgb="FFFFFFFF"/>
      </patternFill>
    </fill>
    <fill>
      <patternFill patternType="solid">
        <fgColor rgb="FFFFF2CC"/>
        <bgColor rgb="FFEAF2F8"/>
      </patternFill>
    </fill>
    <fill>
      <patternFill patternType="solid">
        <fgColor rgb="FFC65911"/>
        <bgColor rgb="FF993300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medium">
        <color rgb="FF1F4E78"/>
      </top>
      <bottom style="double">
        <color rgb="FF1F4E78"/>
      </bottom>
      <diagonal/>
    </border>
    <border>
      <left/>
      <right/>
      <top style="medium">
        <color rgb="FFC65911"/>
      </top>
      <bottom style="double">
        <color rgb="FFC6591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9" fillId="6" borderId="0" xfId="0" applyFont="1" applyFill="1" applyAlignment="1">
      <alignment horizontal="left" indent="1"/>
    </xf>
    <xf numFmtId="0" fontId="5" fillId="0" borderId="0" xfId="0" applyFont="1" applyAlignment="1">
      <alignment vertical="center" wrapText="1" indent="1"/>
    </xf>
    <xf numFmtId="0" fontId="6" fillId="0" borderId="0" xfId="0" applyFont="1"/>
    <xf numFmtId="0" fontId="3" fillId="0" borderId="0" xfId="0" applyFont="1" applyAlignment="1">
      <alignment vertical="center" wrapText="1" indent="1"/>
    </xf>
    <xf numFmtId="0" fontId="2" fillId="6" borderId="0" xfId="0" applyFont="1" applyFill="1" applyAlignment="1">
      <alignment horizontal="left" vertical="center" indent="1"/>
    </xf>
    <xf numFmtId="0" fontId="3" fillId="0" borderId="0" xfId="0" applyFont="1"/>
    <xf numFmtId="0" fontId="2" fillId="2" borderId="0" xfId="0" applyFont="1" applyFill="1" applyAlignment="1">
      <alignment horizontal="left" vertical="center" indent="1"/>
    </xf>
    <xf numFmtId="0" fontId="4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 indent="1"/>
    </xf>
    <xf numFmtId="164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wrapText="1" indent="1"/>
    </xf>
    <xf numFmtId="164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center" vertical="center"/>
    </xf>
    <xf numFmtId="0" fontId="6" fillId="5" borderId="0" xfId="0" applyFont="1" applyFill="1" applyAlignment="1">
      <alignment horizontal="right"/>
    </xf>
    <xf numFmtId="0" fontId="6" fillId="5" borderId="2" xfId="0" applyFont="1" applyFill="1" applyBorder="1" applyAlignment="1">
      <alignment horizontal="center"/>
    </xf>
    <xf numFmtId="164" fontId="6" fillId="5" borderId="2" xfId="0" applyNumberFormat="1" applyFont="1" applyFill="1" applyBorder="1" applyAlignment="1">
      <alignment horizontal="right"/>
    </xf>
    <xf numFmtId="0" fontId="6" fillId="5" borderId="3" xfId="0" applyFont="1" applyFill="1" applyBorder="1" applyAlignment="1">
      <alignment horizontal="center"/>
    </xf>
    <xf numFmtId="164" fontId="6" fillId="5" borderId="3" xfId="0" applyNumberFormat="1" applyFont="1" applyFill="1" applyBorder="1" applyAlignment="1">
      <alignment horizontal="right"/>
    </xf>
    <xf numFmtId="0" fontId="7" fillId="3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164" fontId="8" fillId="5" borderId="1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left" indent="1"/>
    </xf>
    <xf numFmtId="0" fontId="5" fillId="0" borderId="1" xfId="0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0" fontId="10" fillId="0" borderId="0" xfId="0" applyFont="1"/>
    <xf numFmtId="0" fontId="1" fillId="0" borderId="1" xfId="0" applyFont="1" applyBorder="1" applyAlignment="1">
      <alignment horizontal="left" vertical="center" wrapText="1" indent="1"/>
    </xf>
    <xf numFmtId="0" fontId="1" fillId="4" borderId="1" xfId="0" applyFont="1" applyFill="1" applyBorder="1" applyAlignment="1">
      <alignment horizontal="left" vertical="center" wrapText="1" indent="1"/>
    </xf>
    <xf numFmtId="0" fontId="11" fillId="0" borderId="0" xfId="0" applyFont="1"/>
    <xf numFmtId="0" fontId="11" fillId="0" borderId="0" xfId="0" applyFont="1" applyAlignment="1">
      <alignment wrapText="1"/>
    </xf>
    <xf numFmtId="0" fontId="1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AF2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C65911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8"/>
  <sheetViews>
    <sheetView zoomScaleNormal="100" workbookViewId="0">
      <pane ySplit="4" topLeftCell="A5" activePane="bottomLeft" state="frozen"/>
      <selection pane="bottomLeft" activeCell="G8" sqref="G8"/>
    </sheetView>
  </sheetViews>
  <sheetFormatPr baseColWidth="10" defaultColWidth="8.6640625" defaultRowHeight="15" x14ac:dyDescent="0.2"/>
  <cols>
    <col min="1" max="1" width="5" customWidth="1"/>
    <col min="2" max="2" width="14" customWidth="1"/>
    <col min="3" max="3" width="22" customWidth="1"/>
    <col min="4" max="4" width="42" customWidth="1"/>
    <col min="5" max="5" width="12" customWidth="1"/>
    <col min="6" max="6" width="18" customWidth="1"/>
    <col min="7" max="7" width="16" customWidth="1"/>
    <col min="8" max="8" width="6" customWidth="1"/>
    <col min="9" max="9" width="11" customWidth="1"/>
    <col min="10" max="12" width="12" customWidth="1"/>
    <col min="13" max="13" width="42" customWidth="1"/>
  </cols>
  <sheetData>
    <row r="1" spans="1:13" ht="27.75" customHeight="1" x14ac:dyDescent="0.2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x14ac:dyDescent="0.2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4" spans="1:13" ht="30" customHeight="1" x14ac:dyDescent="0.2">
      <c r="A4" s="8" t="s">
        <v>2</v>
      </c>
      <c r="B4" s="8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8" t="s">
        <v>11</v>
      </c>
      <c r="K4" s="8" t="s">
        <v>12</v>
      </c>
      <c r="L4" s="8" t="s">
        <v>13</v>
      </c>
      <c r="M4" s="8" t="s">
        <v>14</v>
      </c>
    </row>
    <row r="5" spans="1:13" ht="28" x14ac:dyDescent="0.2">
      <c r="A5" s="9">
        <v>1</v>
      </c>
      <c r="B5" s="10" t="s">
        <v>15</v>
      </c>
      <c r="C5" s="10" t="s">
        <v>16</v>
      </c>
      <c r="D5" s="10" t="s">
        <v>17</v>
      </c>
      <c r="E5" s="10" t="s">
        <v>18</v>
      </c>
      <c r="F5" s="10"/>
      <c r="G5" s="10"/>
      <c r="H5" s="9">
        <v>1</v>
      </c>
      <c r="I5" s="11">
        <v>99</v>
      </c>
      <c r="J5" s="11">
        <f t="shared" ref="J5:J26" si="0">H5*I5</f>
        <v>99</v>
      </c>
      <c r="K5" s="10" t="s">
        <v>19</v>
      </c>
      <c r="L5" s="12"/>
      <c r="M5" s="10" t="s">
        <v>20</v>
      </c>
    </row>
    <row r="6" spans="1:13" ht="28" x14ac:dyDescent="0.2">
      <c r="A6" s="13">
        <v>2</v>
      </c>
      <c r="B6" s="14" t="s">
        <v>21</v>
      </c>
      <c r="C6" s="14" t="s">
        <v>22</v>
      </c>
      <c r="D6" s="14" t="s">
        <v>23</v>
      </c>
      <c r="E6" s="14" t="s">
        <v>24</v>
      </c>
      <c r="F6" s="14"/>
      <c r="G6" s="14"/>
      <c r="H6" s="13">
        <v>224</v>
      </c>
      <c r="I6" s="15"/>
      <c r="J6" s="15">
        <f t="shared" si="0"/>
        <v>0</v>
      </c>
      <c r="K6" s="14" t="s">
        <v>19</v>
      </c>
      <c r="L6" s="16"/>
      <c r="M6" s="14" t="s">
        <v>25</v>
      </c>
    </row>
    <row r="7" spans="1:13" x14ac:dyDescent="0.2">
      <c r="A7" s="9">
        <v>3</v>
      </c>
      <c r="B7" s="10" t="s">
        <v>21</v>
      </c>
      <c r="C7" s="10" t="s">
        <v>26</v>
      </c>
      <c r="D7" s="10" t="s">
        <v>27</v>
      </c>
      <c r="E7" s="10" t="s">
        <v>24</v>
      </c>
      <c r="F7" s="10"/>
      <c r="G7" s="10"/>
      <c r="H7" s="9">
        <v>1</v>
      </c>
      <c r="I7" s="11"/>
      <c r="J7" s="11">
        <f t="shared" si="0"/>
        <v>0</v>
      </c>
      <c r="K7" s="10" t="s">
        <v>19</v>
      </c>
      <c r="L7" s="12"/>
      <c r="M7" s="10" t="s">
        <v>28</v>
      </c>
    </row>
    <row r="8" spans="1:13" ht="21" x14ac:dyDescent="0.3">
      <c r="A8" s="13">
        <v>4</v>
      </c>
      <c r="B8" s="14" t="s">
        <v>21</v>
      </c>
      <c r="C8" s="14" t="s">
        <v>29</v>
      </c>
      <c r="D8" s="14" t="s">
        <v>30</v>
      </c>
      <c r="E8" s="14" t="s">
        <v>24</v>
      </c>
      <c r="F8" s="14"/>
      <c r="G8" s="29" t="s">
        <v>185</v>
      </c>
      <c r="H8" s="13">
        <v>12</v>
      </c>
      <c r="I8" s="15">
        <v>0.39889999999999998</v>
      </c>
      <c r="J8" s="15">
        <f t="shared" si="0"/>
        <v>4.7867999999999995</v>
      </c>
      <c r="K8" s="14" t="s">
        <v>19</v>
      </c>
      <c r="L8" s="16"/>
      <c r="M8" s="14" t="s">
        <v>31</v>
      </c>
    </row>
    <row r="9" spans="1:13" ht="28" x14ac:dyDescent="0.2">
      <c r="A9" s="9">
        <v>5</v>
      </c>
      <c r="B9" s="10" t="s">
        <v>32</v>
      </c>
      <c r="C9" s="10" t="s">
        <v>33</v>
      </c>
      <c r="D9" s="10" t="s">
        <v>34</v>
      </c>
      <c r="E9" s="10" t="s">
        <v>24</v>
      </c>
      <c r="F9" s="10"/>
      <c r="G9" s="10"/>
      <c r="H9" s="9">
        <v>2</v>
      </c>
      <c r="I9" s="11"/>
      <c r="J9" s="11">
        <f t="shared" si="0"/>
        <v>0</v>
      </c>
      <c r="K9" s="10" t="s">
        <v>19</v>
      </c>
      <c r="L9" s="12"/>
      <c r="M9" s="10" t="s">
        <v>35</v>
      </c>
    </row>
    <row r="10" spans="1:13" ht="28" x14ac:dyDescent="0.2">
      <c r="A10" s="13">
        <v>6</v>
      </c>
      <c r="B10" s="14" t="s">
        <v>32</v>
      </c>
      <c r="C10" s="14" t="s">
        <v>36</v>
      </c>
      <c r="D10" s="14" t="s">
        <v>37</v>
      </c>
      <c r="E10" s="14" t="s">
        <v>24</v>
      </c>
      <c r="F10" s="14"/>
      <c r="G10" s="14"/>
      <c r="H10" s="13">
        <v>2</v>
      </c>
      <c r="I10" s="15"/>
      <c r="J10" s="15">
        <f t="shared" si="0"/>
        <v>0</v>
      </c>
      <c r="K10" s="14" t="s">
        <v>19</v>
      </c>
      <c r="L10" s="16"/>
      <c r="M10" s="14" t="s">
        <v>38</v>
      </c>
    </row>
    <row r="11" spans="1:13" x14ac:dyDescent="0.2">
      <c r="A11" s="9">
        <v>7</v>
      </c>
      <c r="B11" s="10" t="s">
        <v>32</v>
      </c>
      <c r="C11" s="10" t="s">
        <v>39</v>
      </c>
      <c r="D11" s="10" t="s">
        <v>40</v>
      </c>
      <c r="E11" s="10" t="s">
        <v>24</v>
      </c>
      <c r="F11" s="10"/>
      <c r="G11" s="10"/>
      <c r="H11" s="9">
        <v>1</v>
      </c>
      <c r="I11" s="11"/>
      <c r="J11" s="11">
        <f t="shared" si="0"/>
        <v>0</v>
      </c>
      <c r="K11" s="10" t="s">
        <v>19</v>
      </c>
      <c r="L11" s="12"/>
      <c r="M11" s="10" t="s">
        <v>41</v>
      </c>
    </row>
    <row r="12" spans="1:13" ht="28" x14ac:dyDescent="0.2">
      <c r="A12" s="13">
        <v>8</v>
      </c>
      <c r="B12" s="14" t="s">
        <v>42</v>
      </c>
      <c r="C12" s="14" t="s">
        <v>43</v>
      </c>
      <c r="D12" s="14" t="s">
        <v>44</v>
      </c>
      <c r="E12" s="14" t="s">
        <v>24</v>
      </c>
      <c r="F12" s="14"/>
      <c r="G12" s="14"/>
      <c r="H12" s="13">
        <v>5</v>
      </c>
      <c r="I12" s="15"/>
      <c r="J12" s="15">
        <f t="shared" si="0"/>
        <v>0</v>
      </c>
      <c r="K12" s="14" t="s">
        <v>45</v>
      </c>
      <c r="L12" s="16"/>
      <c r="M12" s="14" t="s">
        <v>46</v>
      </c>
    </row>
    <row r="13" spans="1:13" x14ac:dyDescent="0.2">
      <c r="A13" s="9">
        <v>9</v>
      </c>
      <c r="B13" s="10" t="s">
        <v>42</v>
      </c>
      <c r="C13" s="10" t="s">
        <v>47</v>
      </c>
      <c r="D13" s="10" t="s">
        <v>48</v>
      </c>
      <c r="E13" s="10" t="s">
        <v>49</v>
      </c>
      <c r="F13" s="10"/>
      <c r="G13" s="10"/>
      <c r="H13" s="9">
        <v>1</v>
      </c>
      <c r="I13" s="11"/>
      <c r="J13" s="11">
        <f t="shared" si="0"/>
        <v>0</v>
      </c>
      <c r="K13" s="10" t="s">
        <v>50</v>
      </c>
      <c r="L13" s="12"/>
      <c r="M13" s="10" t="s">
        <v>51</v>
      </c>
    </row>
    <row r="14" spans="1:13" x14ac:dyDescent="0.2">
      <c r="A14" s="13">
        <v>10</v>
      </c>
      <c r="B14" s="14" t="s">
        <v>52</v>
      </c>
      <c r="C14" s="14" t="s">
        <v>53</v>
      </c>
      <c r="D14" s="14" t="s">
        <v>54</v>
      </c>
      <c r="E14" s="14" t="s">
        <v>24</v>
      </c>
      <c r="F14" s="14"/>
      <c r="G14" s="14"/>
      <c r="H14" s="13">
        <v>256</v>
      </c>
      <c r="I14" s="15"/>
      <c r="J14" s="15">
        <f t="shared" si="0"/>
        <v>0</v>
      </c>
      <c r="K14" s="14" t="s">
        <v>19</v>
      </c>
      <c r="L14" s="16"/>
      <c r="M14" s="14" t="s">
        <v>55</v>
      </c>
    </row>
    <row r="15" spans="1:13" ht="28" x14ac:dyDescent="0.2">
      <c r="A15" s="9">
        <v>11</v>
      </c>
      <c r="B15" s="10" t="s">
        <v>52</v>
      </c>
      <c r="C15" s="10" t="s">
        <v>56</v>
      </c>
      <c r="D15" s="10" t="s">
        <v>57</v>
      </c>
      <c r="E15" s="10" t="s">
        <v>24</v>
      </c>
      <c r="F15" s="10"/>
      <c r="G15" s="10"/>
      <c r="H15" s="9">
        <v>8</v>
      </c>
      <c r="I15" s="11"/>
      <c r="J15" s="11">
        <f t="shared" si="0"/>
        <v>0</v>
      </c>
      <c r="K15" s="10" t="s">
        <v>19</v>
      </c>
      <c r="L15" s="12"/>
      <c r="M15" s="10" t="s">
        <v>58</v>
      </c>
    </row>
    <row r="16" spans="1:13" ht="28" x14ac:dyDescent="0.2">
      <c r="A16" s="13">
        <v>12</v>
      </c>
      <c r="B16" s="14" t="s">
        <v>59</v>
      </c>
      <c r="C16" s="14" t="s">
        <v>60</v>
      </c>
      <c r="D16" s="14" t="s">
        <v>61</v>
      </c>
      <c r="E16" s="14" t="s">
        <v>24</v>
      </c>
      <c r="F16" s="14"/>
      <c r="G16" s="14"/>
      <c r="H16" s="13">
        <v>1</v>
      </c>
      <c r="I16" s="15"/>
      <c r="J16" s="15">
        <f t="shared" si="0"/>
        <v>0</v>
      </c>
      <c r="K16" s="14" t="s">
        <v>50</v>
      </c>
      <c r="L16" s="16"/>
      <c r="M16" s="14" t="s">
        <v>62</v>
      </c>
    </row>
    <row r="17" spans="1:13" ht="28" x14ac:dyDescent="0.2">
      <c r="A17" s="9">
        <v>13</v>
      </c>
      <c r="B17" s="10" t="s">
        <v>59</v>
      </c>
      <c r="C17" s="10" t="s">
        <v>63</v>
      </c>
      <c r="D17" s="10" t="s">
        <v>64</v>
      </c>
      <c r="E17" s="10" t="s">
        <v>24</v>
      </c>
      <c r="F17" s="10"/>
      <c r="G17" s="10"/>
      <c r="H17" s="9">
        <v>4</v>
      </c>
      <c r="I17" s="11"/>
      <c r="J17" s="11">
        <f t="shared" si="0"/>
        <v>0</v>
      </c>
      <c r="K17" s="10" t="s">
        <v>50</v>
      </c>
      <c r="L17" s="12"/>
      <c r="M17" s="10" t="s">
        <v>65</v>
      </c>
    </row>
    <row r="18" spans="1:13" x14ac:dyDescent="0.2">
      <c r="A18" s="13">
        <v>14</v>
      </c>
      <c r="B18" s="14" t="s">
        <v>59</v>
      </c>
      <c r="C18" s="14" t="s">
        <v>66</v>
      </c>
      <c r="D18" s="14" t="s">
        <v>67</v>
      </c>
      <c r="E18" s="14" t="s">
        <v>24</v>
      </c>
      <c r="F18" s="14"/>
      <c r="G18" s="14"/>
      <c r="H18" s="13">
        <v>4</v>
      </c>
      <c r="I18" s="15"/>
      <c r="J18" s="15">
        <f t="shared" si="0"/>
        <v>0</v>
      </c>
      <c r="K18" s="14" t="s">
        <v>50</v>
      </c>
      <c r="L18" s="16"/>
      <c r="M18" s="14" t="s">
        <v>68</v>
      </c>
    </row>
    <row r="19" spans="1:13" ht="28" x14ac:dyDescent="0.2">
      <c r="A19" s="9">
        <v>15</v>
      </c>
      <c r="B19" s="10" t="s">
        <v>69</v>
      </c>
      <c r="C19" s="10" t="s">
        <v>70</v>
      </c>
      <c r="D19" s="10" t="s">
        <v>71</v>
      </c>
      <c r="E19" s="10" t="s">
        <v>24</v>
      </c>
      <c r="F19" s="10"/>
      <c r="G19" s="10"/>
      <c r="H19" s="9">
        <v>16</v>
      </c>
      <c r="I19" s="11"/>
      <c r="J19" s="11">
        <f t="shared" si="0"/>
        <v>0</v>
      </c>
      <c r="K19" s="10" t="s">
        <v>19</v>
      </c>
      <c r="L19" s="12"/>
      <c r="M19" s="10" t="s">
        <v>72</v>
      </c>
    </row>
    <row r="20" spans="1:13" ht="28" x14ac:dyDescent="0.2">
      <c r="A20" s="13">
        <v>16</v>
      </c>
      <c r="B20" s="14" t="s">
        <v>69</v>
      </c>
      <c r="C20" s="14" t="s">
        <v>73</v>
      </c>
      <c r="D20" s="14" t="s">
        <v>74</v>
      </c>
      <c r="E20" s="14" t="s">
        <v>24</v>
      </c>
      <c r="F20" s="14"/>
      <c r="G20" s="14"/>
      <c r="H20" s="13">
        <v>16</v>
      </c>
      <c r="I20" s="15"/>
      <c r="J20" s="15">
        <f t="shared" si="0"/>
        <v>0</v>
      </c>
      <c r="K20" s="14" t="s">
        <v>19</v>
      </c>
      <c r="L20" s="16"/>
      <c r="M20" s="14" t="s">
        <v>75</v>
      </c>
    </row>
    <row r="21" spans="1:13" ht="28" x14ac:dyDescent="0.2">
      <c r="A21" s="9">
        <v>17</v>
      </c>
      <c r="B21" s="10" t="s">
        <v>69</v>
      </c>
      <c r="C21" s="10" t="s">
        <v>76</v>
      </c>
      <c r="D21" s="10" t="s">
        <v>77</v>
      </c>
      <c r="E21" s="10" t="s">
        <v>78</v>
      </c>
      <c r="F21" s="10"/>
      <c r="G21" s="10"/>
      <c r="H21" s="9">
        <v>1</v>
      </c>
      <c r="I21" s="11"/>
      <c r="J21" s="11">
        <f t="shared" si="0"/>
        <v>0</v>
      </c>
      <c r="K21" s="10" t="s">
        <v>50</v>
      </c>
      <c r="L21" s="12"/>
      <c r="M21" s="10" t="s">
        <v>79</v>
      </c>
    </row>
    <row r="22" spans="1:13" ht="28" x14ac:dyDescent="0.2">
      <c r="A22" s="13">
        <v>18</v>
      </c>
      <c r="B22" s="14" t="s">
        <v>80</v>
      </c>
      <c r="C22" s="14" t="s">
        <v>81</v>
      </c>
      <c r="D22" s="14" t="s">
        <v>82</v>
      </c>
      <c r="E22" s="14" t="s">
        <v>24</v>
      </c>
      <c r="F22" s="14"/>
      <c r="G22" s="14"/>
      <c r="H22" s="13">
        <v>2</v>
      </c>
      <c r="I22" s="15"/>
      <c r="J22" s="15">
        <f t="shared" si="0"/>
        <v>0</v>
      </c>
      <c r="K22" s="14" t="s">
        <v>50</v>
      </c>
      <c r="L22" s="16"/>
      <c r="M22" s="14" t="s">
        <v>83</v>
      </c>
    </row>
    <row r="23" spans="1:13" x14ac:dyDescent="0.2">
      <c r="A23" s="9">
        <v>19</v>
      </c>
      <c r="B23" s="10" t="s">
        <v>80</v>
      </c>
      <c r="C23" s="10" t="s">
        <v>84</v>
      </c>
      <c r="D23" s="10" t="s">
        <v>85</v>
      </c>
      <c r="E23" s="10" t="s">
        <v>24</v>
      </c>
      <c r="F23" s="10"/>
      <c r="G23" s="10"/>
      <c r="H23" s="9">
        <v>1</v>
      </c>
      <c r="I23" s="11"/>
      <c r="J23" s="11">
        <f t="shared" si="0"/>
        <v>0</v>
      </c>
      <c r="K23" s="10" t="s">
        <v>50</v>
      </c>
      <c r="L23" s="12"/>
      <c r="M23" s="10" t="s">
        <v>86</v>
      </c>
    </row>
    <row r="24" spans="1:13" x14ac:dyDescent="0.2">
      <c r="A24" s="13">
        <v>20</v>
      </c>
      <c r="B24" s="14" t="s">
        <v>80</v>
      </c>
      <c r="C24" s="14" t="s">
        <v>87</v>
      </c>
      <c r="D24" s="14" t="s">
        <v>88</v>
      </c>
      <c r="E24" s="14" t="s">
        <v>24</v>
      </c>
      <c r="F24" s="14"/>
      <c r="G24" s="14"/>
      <c r="H24" s="13">
        <v>2</v>
      </c>
      <c r="I24" s="15"/>
      <c r="J24" s="15">
        <f t="shared" si="0"/>
        <v>0</v>
      </c>
      <c r="K24" s="14" t="s">
        <v>50</v>
      </c>
      <c r="L24" s="16"/>
      <c r="M24" s="14" t="s">
        <v>89</v>
      </c>
    </row>
    <row r="25" spans="1:13" x14ac:dyDescent="0.2">
      <c r="A25" s="9">
        <v>21</v>
      </c>
      <c r="B25" s="10" t="s">
        <v>90</v>
      </c>
      <c r="C25" s="10" t="s">
        <v>91</v>
      </c>
      <c r="D25" s="10" t="s">
        <v>92</v>
      </c>
      <c r="E25" s="10" t="s">
        <v>93</v>
      </c>
      <c r="F25" s="10"/>
      <c r="G25" s="10"/>
      <c r="H25" s="9">
        <v>1</v>
      </c>
      <c r="I25" s="11"/>
      <c r="J25" s="11">
        <f t="shared" si="0"/>
        <v>0</v>
      </c>
      <c r="K25" s="10" t="s">
        <v>50</v>
      </c>
      <c r="L25" s="12"/>
      <c r="M25" s="10" t="s">
        <v>94</v>
      </c>
    </row>
    <row r="26" spans="1:13" x14ac:dyDescent="0.2">
      <c r="A26" s="13">
        <v>22</v>
      </c>
      <c r="B26" s="14" t="s">
        <v>90</v>
      </c>
      <c r="C26" s="14" t="s">
        <v>91</v>
      </c>
      <c r="D26" s="14" t="s">
        <v>95</v>
      </c>
      <c r="E26" s="14" t="s">
        <v>93</v>
      </c>
      <c r="F26" s="14"/>
      <c r="G26" s="14"/>
      <c r="H26" s="13">
        <v>1</v>
      </c>
      <c r="I26" s="15"/>
      <c r="J26" s="15">
        <f t="shared" si="0"/>
        <v>0</v>
      </c>
      <c r="K26" s="14" t="s">
        <v>50</v>
      </c>
      <c r="L26" s="16"/>
      <c r="M26" s="14" t="s">
        <v>96</v>
      </c>
    </row>
    <row r="27" spans="1:13" x14ac:dyDescent="0.2">
      <c r="A27" s="9"/>
      <c r="B27" s="10"/>
      <c r="C27" s="10"/>
      <c r="D27" s="10"/>
      <c r="E27" s="10"/>
      <c r="F27" s="10"/>
      <c r="G27" s="10"/>
      <c r="H27" s="9"/>
      <c r="I27" s="11"/>
      <c r="J27" s="11" t="str">
        <f t="shared" ref="J27:J56" si="1">IF(OR(H27="",I27=""),"",H27*I27)</f>
        <v/>
      </c>
      <c r="K27" s="10"/>
      <c r="L27" s="12"/>
      <c r="M27" s="10"/>
    </row>
    <row r="28" spans="1:13" x14ac:dyDescent="0.2">
      <c r="A28" s="13"/>
      <c r="B28" s="14"/>
      <c r="C28" s="14"/>
      <c r="D28" s="14"/>
      <c r="E28" s="14"/>
      <c r="F28" s="14"/>
      <c r="G28" s="14"/>
      <c r="H28" s="13"/>
      <c r="I28" s="15"/>
      <c r="J28" s="15" t="str">
        <f t="shared" si="1"/>
        <v/>
      </c>
      <c r="K28" s="14"/>
      <c r="L28" s="16"/>
      <c r="M28" s="14"/>
    </row>
    <row r="29" spans="1:13" x14ac:dyDescent="0.2">
      <c r="A29" s="9"/>
      <c r="B29" s="10"/>
      <c r="C29" s="10"/>
      <c r="D29" s="10"/>
      <c r="E29" s="10"/>
      <c r="F29" s="10"/>
      <c r="G29" s="10"/>
      <c r="H29" s="9"/>
      <c r="I29" s="11"/>
      <c r="J29" s="11" t="str">
        <f t="shared" si="1"/>
        <v/>
      </c>
      <c r="K29" s="10"/>
      <c r="L29" s="12"/>
      <c r="M29" s="10"/>
    </row>
    <row r="30" spans="1:13" x14ac:dyDescent="0.2">
      <c r="A30" s="13"/>
      <c r="B30" s="14"/>
      <c r="C30" s="14"/>
      <c r="D30" s="14"/>
      <c r="E30" s="14"/>
      <c r="F30" s="14"/>
      <c r="G30" s="14"/>
      <c r="H30" s="13"/>
      <c r="I30" s="15"/>
      <c r="J30" s="15" t="str">
        <f t="shared" si="1"/>
        <v/>
      </c>
      <c r="K30" s="14"/>
      <c r="L30" s="16"/>
      <c r="M30" s="14"/>
    </row>
    <row r="31" spans="1:13" x14ac:dyDescent="0.2">
      <c r="A31" s="9"/>
      <c r="B31" s="10"/>
      <c r="C31" s="10"/>
      <c r="D31" s="10"/>
      <c r="E31" s="10"/>
      <c r="F31" s="10"/>
      <c r="G31" s="10"/>
      <c r="H31" s="9"/>
      <c r="I31" s="11"/>
      <c r="J31" s="11" t="str">
        <f t="shared" si="1"/>
        <v/>
      </c>
      <c r="K31" s="10"/>
      <c r="L31" s="12"/>
      <c r="M31" s="10"/>
    </row>
    <row r="32" spans="1:13" x14ac:dyDescent="0.2">
      <c r="A32" s="13"/>
      <c r="B32" s="14"/>
      <c r="C32" s="14"/>
      <c r="D32" s="14"/>
      <c r="E32" s="14"/>
      <c r="F32" s="14"/>
      <c r="G32" s="14"/>
      <c r="H32" s="13"/>
      <c r="I32" s="15"/>
      <c r="J32" s="15" t="str">
        <f t="shared" si="1"/>
        <v/>
      </c>
      <c r="K32" s="14"/>
      <c r="L32" s="16"/>
      <c r="M32" s="14"/>
    </row>
    <row r="33" spans="1:13" x14ac:dyDescent="0.2">
      <c r="A33" s="9"/>
      <c r="B33" s="10"/>
      <c r="C33" s="10"/>
      <c r="D33" s="10"/>
      <c r="E33" s="10"/>
      <c r="F33" s="10"/>
      <c r="G33" s="10"/>
      <c r="H33" s="9"/>
      <c r="I33" s="11"/>
      <c r="J33" s="11" t="str">
        <f t="shared" si="1"/>
        <v/>
      </c>
      <c r="K33" s="10"/>
      <c r="L33" s="12"/>
      <c r="M33" s="10"/>
    </row>
    <row r="34" spans="1:13" x14ac:dyDescent="0.2">
      <c r="A34" s="13"/>
      <c r="B34" s="14"/>
      <c r="C34" s="14"/>
      <c r="D34" s="14"/>
      <c r="E34" s="14"/>
      <c r="F34" s="14"/>
      <c r="G34" s="14"/>
      <c r="H34" s="13"/>
      <c r="I34" s="15"/>
      <c r="J34" s="15" t="str">
        <f t="shared" si="1"/>
        <v/>
      </c>
      <c r="K34" s="14"/>
      <c r="L34" s="16"/>
      <c r="M34" s="14"/>
    </row>
    <row r="35" spans="1:13" x14ac:dyDescent="0.2">
      <c r="A35" s="9"/>
      <c r="B35" s="10"/>
      <c r="C35" s="10"/>
      <c r="D35" s="10"/>
      <c r="E35" s="10"/>
      <c r="F35" s="10"/>
      <c r="G35" s="10"/>
      <c r="H35" s="9"/>
      <c r="I35" s="11"/>
      <c r="J35" s="11" t="str">
        <f t="shared" si="1"/>
        <v/>
      </c>
      <c r="K35" s="10"/>
      <c r="L35" s="12"/>
      <c r="M35" s="10"/>
    </row>
    <row r="36" spans="1:13" x14ac:dyDescent="0.2">
      <c r="A36" s="13"/>
      <c r="B36" s="14"/>
      <c r="C36" s="14"/>
      <c r="D36" s="14"/>
      <c r="E36" s="14"/>
      <c r="F36" s="14"/>
      <c r="G36" s="14"/>
      <c r="H36" s="13"/>
      <c r="I36" s="15"/>
      <c r="J36" s="15" t="str">
        <f t="shared" si="1"/>
        <v/>
      </c>
      <c r="K36" s="14"/>
      <c r="L36" s="16"/>
      <c r="M36" s="14"/>
    </row>
    <row r="37" spans="1:13" x14ac:dyDescent="0.2">
      <c r="A37" s="9"/>
      <c r="B37" s="10"/>
      <c r="C37" s="10"/>
      <c r="D37" s="10"/>
      <c r="E37" s="10"/>
      <c r="F37" s="10"/>
      <c r="G37" s="10"/>
      <c r="H37" s="9"/>
      <c r="I37" s="11"/>
      <c r="J37" s="11" t="str">
        <f t="shared" si="1"/>
        <v/>
      </c>
      <c r="K37" s="10"/>
      <c r="L37" s="12"/>
      <c r="M37" s="10"/>
    </row>
    <row r="38" spans="1:13" x14ac:dyDescent="0.2">
      <c r="A38" s="13"/>
      <c r="B38" s="14"/>
      <c r="C38" s="14"/>
      <c r="D38" s="14"/>
      <c r="E38" s="14"/>
      <c r="F38" s="14"/>
      <c r="G38" s="14"/>
      <c r="H38" s="13"/>
      <c r="I38" s="15"/>
      <c r="J38" s="15" t="str">
        <f t="shared" si="1"/>
        <v/>
      </c>
      <c r="K38" s="14"/>
      <c r="L38" s="16"/>
      <c r="M38" s="14"/>
    </row>
    <row r="39" spans="1:13" x14ac:dyDescent="0.2">
      <c r="A39" s="9"/>
      <c r="B39" s="10"/>
      <c r="C39" s="10"/>
      <c r="D39" s="10"/>
      <c r="E39" s="10"/>
      <c r="F39" s="10"/>
      <c r="G39" s="10"/>
      <c r="H39" s="9"/>
      <c r="I39" s="11"/>
      <c r="J39" s="11" t="str">
        <f t="shared" si="1"/>
        <v/>
      </c>
      <c r="K39" s="10"/>
      <c r="L39" s="12"/>
      <c r="M39" s="10"/>
    </row>
    <row r="40" spans="1:13" x14ac:dyDescent="0.2">
      <c r="A40" s="13"/>
      <c r="B40" s="14"/>
      <c r="C40" s="14"/>
      <c r="D40" s="14"/>
      <c r="E40" s="14"/>
      <c r="F40" s="14"/>
      <c r="G40" s="14"/>
      <c r="H40" s="13"/>
      <c r="I40" s="15"/>
      <c r="J40" s="15" t="str">
        <f t="shared" si="1"/>
        <v/>
      </c>
      <c r="K40" s="14"/>
      <c r="L40" s="16"/>
      <c r="M40" s="14"/>
    </row>
    <row r="41" spans="1:13" x14ac:dyDescent="0.2">
      <c r="A41" s="9"/>
      <c r="B41" s="10"/>
      <c r="C41" s="10"/>
      <c r="D41" s="10"/>
      <c r="E41" s="10"/>
      <c r="F41" s="10"/>
      <c r="G41" s="10"/>
      <c r="H41" s="9"/>
      <c r="I41" s="11"/>
      <c r="J41" s="11" t="str">
        <f t="shared" si="1"/>
        <v/>
      </c>
      <c r="K41" s="10"/>
      <c r="L41" s="12"/>
      <c r="M41" s="10"/>
    </row>
    <row r="42" spans="1:13" x14ac:dyDescent="0.2">
      <c r="A42" s="13"/>
      <c r="B42" s="14"/>
      <c r="C42" s="14"/>
      <c r="D42" s="14"/>
      <c r="E42" s="14"/>
      <c r="F42" s="14"/>
      <c r="G42" s="14"/>
      <c r="H42" s="13"/>
      <c r="I42" s="15"/>
      <c r="J42" s="15" t="str">
        <f t="shared" si="1"/>
        <v/>
      </c>
      <c r="K42" s="14"/>
      <c r="L42" s="16"/>
      <c r="M42" s="14"/>
    </row>
    <row r="43" spans="1:13" x14ac:dyDescent="0.2">
      <c r="A43" s="9"/>
      <c r="B43" s="10"/>
      <c r="C43" s="10"/>
      <c r="D43" s="10"/>
      <c r="E43" s="10"/>
      <c r="F43" s="10"/>
      <c r="G43" s="10"/>
      <c r="H43" s="9"/>
      <c r="I43" s="11"/>
      <c r="J43" s="11" t="str">
        <f t="shared" si="1"/>
        <v/>
      </c>
      <c r="K43" s="10"/>
      <c r="L43" s="12"/>
      <c r="M43" s="10"/>
    </row>
    <row r="44" spans="1:13" x14ac:dyDescent="0.2">
      <c r="A44" s="13"/>
      <c r="B44" s="14"/>
      <c r="C44" s="14"/>
      <c r="D44" s="14"/>
      <c r="E44" s="14"/>
      <c r="F44" s="14"/>
      <c r="G44" s="14"/>
      <c r="H44" s="13"/>
      <c r="I44" s="15"/>
      <c r="J44" s="15" t="str">
        <f t="shared" si="1"/>
        <v/>
      </c>
      <c r="K44" s="14"/>
      <c r="L44" s="16"/>
      <c r="M44" s="14"/>
    </row>
    <row r="45" spans="1:13" x14ac:dyDescent="0.2">
      <c r="A45" s="9"/>
      <c r="B45" s="10"/>
      <c r="C45" s="10"/>
      <c r="D45" s="10"/>
      <c r="E45" s="10"/>
      <c r="F45" s="10"/>
      <c r="G45" s="10"/>
      <c r="H45" s="9"/>
      <c r="I45" s="11"/>
      <c r="J45" s="11" t="str">
        <f t="shared" si="1"/>
        <v/>
      </c>
      <c r="K45" s="10"/>
      <c r="L45" s="12"/>
      <c r="M45" s="10"/>
    </row>
    <row r="46" spans="1:13" x14ac:dyDescent="0.2">
      <c r="A46" s="13"/>
      <c r="B46" s="14"/>
      <c r="C46" s="14"/>
      <c r="D46" s="14"/>
      <c r="E46" s="14"/>
      <c r="F46" s="14"/>
      <c r="G46" s="14"/>
      <c r="H46" s="13"/>
      <c r="I46" s="15"/>
      <c r="J46" s="15" t="str">
        <f t="shared" si="1"/>
        <v/>
      </c>
      <c r="K46" s="14"/>
      <c r="L46" s="16"/>
      <c r="M46" s="14"/>
    </row>
    <row r="47" spans="1:13" x14ac:dyDescent="0.2">
      <c r="A47" s="9"/>
      <c r="B47" s="10"/>
      <c r="C47" s="10"/>
      <c r="D47" s="10"/>
      <c r="E47" s="10"/>
      <c r="F47" s="10"/>
      <c r="G47" s="10"/>
      <c r="H47" s="9"/>
      <c r="I47" s="11"/>
      <c r="J47" s="11" t="str">
        <f t="shared" si="1"/>
        <v/>
      </c>
      <c r="K47" s="10"/>
      <c r="L47" s="12"/>
      <c r="M47" s="10"/>
    </row>
    <row r="48" spans="1:13" x14ac:dyDescent="0.2">
      <c r="A48" s="13"/>
      <c r="B48" s="14"/>
      <c r="C48" s="14"/>
      <c r="D48" s="14"/>
      <c r="E48" s="14"/>
      <c r="F48" s="14"/>
      <c r="G48" s="14"/>
      <c r="H48" s="13"/>
      <c r="I48" s="15"/>
      <c r="J48" s="15" t="str">
        <f t="shared" si="1"/>
        <v/>
      </c>
      <c r="K48" s="14"/>
      <c r="L48" s="16"/>
      <c r="M48" s="14"/>
    </row>
    <row r="49" spans="1:13" x14ac:dyDescent="0.2">
      <c r="A49" s="9"/>
      <c r="B49" s="10"/>
      <c r="C49" s="10"/>
      <c r="D49" s="10"/>
      <c r="E49" s="10"/>
      <c r="F49" s="10"/>
      <c r="G49" s="10"/>
      <c r="H49" s="9"/>
      <c r="I49" s="11"/>
      <c r="J49" s="11" t="str">
        <f t="shared" si="1"/>
        <v/>
      </c>
      <c r="K49" s="10"/>
      <c r="L49" s="12"/>
      <c r="M49" s="10"/>
    </row>
    <row r="50" spans="1:13" x14ac:dyDescent="0.2">
      <c r="A50" s="13"/>
      <c r="B50" s="14"/>
      <c r="C50" s="14"/>
      <c r="D50" s="14"/>
      <c r="E50" s="14"/>
      <c r="F50" s="14"/>
      <c r="G50" s="14"/>
      <c r="H50" s="13"/>
      <c r="I50" s="15"/>
      <c r="J50" s="15" t="str">
        <f t="shared" si="1"/>
        <v/>
      </c>
      <c r="K50" s="14"/>
      <c r="L50" s="16"/>
      <c r="M50" s="14"/>
    </row>
    <row r="51" spans="1:13" x14ac:dyDescent="0.2">
      <c r="A51" s="9"/>
      <c r="B51" s="10"/>
      <c r="C51" s="10"/>
      <c r="D51" s="10"/>
      <c r="E51" s="10"/>
      <c r="F51" s="10"/>
      <c r="G51" s="10"/>
      <c r="H51" s="9"/>
      <c r="I51" s="11"/>
      <c r="J51" s="11" t="str">
        <f t="shared" si="1"/>
        <v/>
      </c>
      <c r="K51" s="10"/>
      <c r="L51" s="12"/>
      <c r="M51" s="10"/>
    </row>
    <row r="52" spans="1:13" x14ac:dyDescent="0.2">
      <c r="A52" s="13"/>
      <c r="B52" s="14"/>
      <c r="C52" s="14"/>
      <c r="D52" s="14"/>
      <c r="E52" s="14"/>
      <c r="F52" s="14"/>
      <c r="G52" s="14"/>
      <c r="H52" s="13"/>
      <c r="I52" s="15"/>
      <c r="J52" s="15" t="str">
        <f t="shared" si="1"/>
        <v/>
      </c>
      <c r="K52" s="14"/>
      <c r="L52" s="16"/>
      <c r="M52" s="14"/>
    </row>
    <row r="53" spans="1:13" x14ac:dyDescent="0.2">
      <c r="A53" s="9"/>
      <c r="B53" s="10"/>
      <c r="C53" s="10"/>
      <c r="D53" s="10"/>
      <c r="E53" s="10"/>
      <c r="F53" s="10"/>
      <c r="G53" s="10"/>
      <c r="H53" s="9"/>
      <c r="I53" s="11"/>
      <c r="J53" s="11" t="str">
        <f t="shared" si="1"/>
        <v/>
      </c>
      <c r="K53" s="10"/>
      <c r="L53" s="12"/>
      <c r="M53" s="10"/>
    </row>
    <row r="54" spans="1:13" x14ac:dyDescent="0.2">
      <c r="A54" s="13"/>
      <c r="B54" s="14"/>
      <c r="C54" s="14"/>
      <c r="D54" s="14"/>
      <c r="E54" s="14"/>
      <c r="F54" s="14"/>
      <c r="G54" s="14"/>
      <c r="H54" s="13"/>
      <c r="I54" s="15"/>
      <c r="J54" s="15" t="str">
        <f t="shared" si="1"/>
        <v/>
      </c>
      <c r="K54" s="14"/>
      <c r="L54" s="16"/>
      <c r="M54" s="14"/>
    </row>
    <row r="55" spans="1:13" x14ac:dyDescent="0.2">
      <c r="A55" s="9"/>
      <c r="B55" s="10"/>
      <c r="C55" s="10"/>
      <c r="D55" s="10"/>
      <c r="E55" s="10"/>
      <c r="F55" s="10"/>
      <c r="G55" s="10"/>
      <c r="H55" s="9"/>
      <c r="I55" s="11"/>
      <c r="J55" s="11" t="str">
        <f t="shared" si="1"/>
        <v/>
      </c>
      <c r="K55" s="10"/>
      <c r="L55" s="12"/>
      <c r="M55" s="10"/>
    </row>
    <row r="56" spans="1:13" x14ac:dyDescent="0.2">
      <c r="A56" s="13"/>
      <c r="B56" s="14"/>
      <c r="C56" s="14"/>
      <c r="D56" s="14"/>
      <c r="E56" s="14"/>
      <c r="F56" s="14"/>
      <c r="G56" s="14"/>
      <c r="H56" s="13"/>
      <c r="I56" s="15"/>
      <c r="J56" s="15" t="str">
        <f t="shared" si="1"/>
        <v/>
      </c>
      <c r="K56" s="14"/>
      <c r="L56" s="16"/>
      <c r="M56" s="14"/>
    </row>
    <row r="58" spans="1:13" ht="16" x14ac:dyDescent="0.2">
      <c r="B58" s="17" t="s">
        <v>97</v>
      </c>
      <c r="H58" s="18">
        <f>SUM(H5:H56)</f>
        <v>562</v>
      </c>
      <c r="J58" s="19">
        <f>SUM(J5:J56)</f>
        <v>103.7868</v>
      </c>
    </row>
  </sheetData>
  <mergeCells count="2">
    <mergeCell ref="A1:M1"/>
    <mergeCell ref="A2:M2"/>
  </mergeCells>
  <dataValidations count="2">
    <dataValidation type="list" allowBlank="1" sqref="K5:K56" xr:uid="{00000000-0002-0000-0000-000000000000}">
      <formula1>"Pending,Candidate,Selected,Quoted,Ordered,Received,Installed,Tested,Cancelled"</formula1>
      <formula2>0</formula2>
    </dataValidation>
    <dataValidation type="list" allowBlank="1" sqref="B5:B56" xr:uid="{00000000-0002-0000-0000-000001000000}">
      <formula1>"FPGA,Switch,Vref,PSU,R-2R Ladder,Output,Connectors,Inputs,Chassis,Misc"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3"/>
  <sheetViews>
    <sheetView tabSelected="1" zoomScaleNormal="100" workbookViewId="0">
      <pane ySplit="4" topLeftCell="A5" activePane="bottomLeft" state="frozen"/>
      <selection pane="bottomLeft" activeCell="G36" sqref="G36"/>
    </sheetView>
  </sheetViews>
  <sheetFormatPr baseColWidth="10" defaultColWidth="8.6640625" defaultRowHeight="15" x14ac:dyDescent="0.2"/>
  <cols>
    <col min="1" max="1" width="5" customWidth="1"/>
    <col min="2" max="2" width="14" customWidth="1"/>
    <col min="3" max="3" width="22" customWidth="1"/>
    <col min="4" max="4" width="42" customWidth="1"/>
    <col min="5" max="5" width="14" customWidth="1"/>
    <col min="6" max="6" width="18" customWidth="1"/>
    <col min="7" max="7" width="25" customWidth="1"/>
    <col min="8" max="8" width="7" customWidth="1"/>
    <col min="9" max="9" width="11" customWidth="1"/>
    <col min="10" max="12" width="12" customWidth="1"/>
    <col min="13" max="13" width="42" customWidth="1"/>
  </cols>
  <sheetData>
    <row r="1" spans="1:13" ht="27.75" customHeight="1" x14ac:dyDescent="0.2">
      <c r="A1" s="5" t="s">
        <v>98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3" ht="31.5" customHeight="1" x14ac:dyDescent="0.2">
      <c r="A2" s="4" t="s">
        <v>99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4" spans="1:13" ht="30" customHeight="1" x14ac:dyDescent="0.2">
      <c r="A4" s="8" t="s">
        <v>2</v>
      </c>
      <c r="B4" s="8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8" t="s">
        <v>11</v>
      </c>
      <c r="K4" s="8" t="s">
        <v>12</v>
      </c>
      <c r="L4" s="8" t="s">
        <v>13</v>
      </c>
      <c r="M4" s="8" t="s">
        <v>14</v>
      </c>
    </row>
    <row r="5" spans="1:13" ht="28" x14ac:dyDescent="0.2">
      <c r="A5" s="9">
        <v>1</v>
      </c>
      <c r="B5" s="10" t="s">
        <v>15</v>
      </c>
      <c r="C5" s="10" t="s">
        <v>16</v>
      </c>
      <c r="D5" s="10" t="s">
        <v>100</v>
      </c>
      <c r="E5" s="10" t="s">
        <v>18</v>
      </c>
      <c r="F5" s="10"/>
      <c r="G5" s="10"/>
      <c r="H5" s="9">
        <v>1</v>
      </c>
      <c r="I5" s="11">
        <v>99</v>
      </c>
      <c r="J5" s="11">
        <f t="shared" ref="J5:J26" si="0">H5*I5</f>
        <v>99</v>
      </c>
      <c r="K5" s="10" t="s">
        <v>19</v>
      </c>
      <c r="L5" s="12"/>
      <c r="M5" s="30" t="s">
        <v>186</v>
      </c>
    </row>
    <row r="6" spans="1:13" ht="28" x14ac:dyDescent="0.2">
      <c r="A6" s="13">
        <v>2</v>
      </c>
      <c r="B6" s="14" t="s">
        <v>21</v>
      </c>
      <c r="C6" s="31" t="s">
        <v>187</v>
      </c>
      <c r="D6" s="14" t="s">
        <v>101</v>
      </c>
      <c r="E6" s="14" t="s">
        <v>102</v>
      </c>
      <c r="F6" s="14"/>
      <c r="G6" s="34" t="s">
        <v>185</v>
      </c>
      <c r="H6" s="13">
        <v>12</v>
      </c>
      <c r="I6" s="15">
        <v>0.39889999999999998</v>
      </c>
      <c r="J6" s="15">
        <f t="shared" si="0"/>
        <v>4.7867999999999995</v>
      </c>
      <c r="K6" s="14" t="s">
        <v>19</v>
      </c>
      <c r="L6" s="16"/>
      <c r="M6" s="14" t="s">
        <v>103</v>
      </c>
    </row>
    <row r="7" spans="1:13" ht="56" x14ac:dyDescent="0.2">
      <c r="A7" s="9">
        <v>3</v>
      </c>
      <c r="B7" s="10" t="s">
        <v>52</v>
      </c>
      <c r="C7" s="10" t="s">
        <v>104</v>
      </c>
      <c r="D7" s="10" t="s">
        <v>105</v>
      </c>
      <c r="E7" s="10" t="s">
        <v>106</v>
      </c>
      <c r="F7" s="10"/>
      <c r="G7" s="10"/>
      <c r="H7" s="9">
        <v>252</v>
      </c>
      <c r="I7" s="11"/>
      <c r="J7" s="11">
        <f t="shared" si="0"/>
        <v>0</v>
      </c>
      <c r="K7" s="10" t="s">
        <v>19</v>
      </c>
      <c r="L7" s="12"/>
      <c r="M7" s="10" t="s">
        <v>107</v>
      </c>
    </row>
    <row r="8" spans="1:13" ht="42" x14ac:dyDescent="0.2">
      <c r="A8" s="13">
        <v>4</v>
      </c>
      <c r="B8" s="14" t="s">
        <v>52</v>
      </c>
      <c r="C8" s="14" t="s">
        <v>108</v>
      </c>
      <c r="D8" s="14" t="s">
        <v>109</v>
      </c>
      <c r="E8" s="14" t="s">
        <v>106</v>
      </c>
      <c r="F8" s="14"/>
      <c r="G8" s="14"/>
      <c r="H8" s="13">
        <v>48</v>
      </c>
      <c r="I8" s="15"/>
      <c r="J8" s="15">
        <f t="shared" si="0"/>
        <v>0</v>
      </c>
      <c r="K8" s="14" t="s">
        <v>50</v>
      </c>
      <c r="L8" s="16"/>
      <c r="M8" s="14" t="s">
        <v>110</v>
      </c>
    </row>
    <row r="9" spans="1:13" ht="28" x14ac:dyDescent="0.2">
      <c r="A9" s="9">
        <v>5</v>
      </c>
      <c r="B9" s="10" t="s">
        <v>52</v>
      </c>
      <c r="C9" s="10" t="s">
        <v>111</v>
      </c>
      <c r="D9" s="10" t="s">
        <v>112</v>
      </c>
      <c r="E9" s="10" t="s">
        <v>113</v>
      </c>
      <c r="F9" s="10"/>
      <c r="G9" s="10"/>
      <c r="H9" s="9">
        <v>0</v>
      </c>
      <c r="I9" s="11"/>
      <c r="J9" s="11">
        <f t="shared" si="0"/>
        <v>0</v>
      </c>
      <c r="K9" s="10" t="s">
        <v>114</v>
      </c>
      <c r="L9" s="12"/>
      <c r="M9" s="10" t="s">
        <v>115</v>
      </c>
    </row>
    <row r="10" spans="1:13" ht="28" x14ac:dyDescent="0.2">
      <c r="A10" s="13">
        <v>6</v>
      </c>
      <c r="B10" s="14" t="s">
        <v>32</v>
      </c>
      <c r="C10" s="14" t="s">
        <v>33</v>
      </c>
      <c r="D10" s="14" t="s">
        <v>116</v>
      </c>
      <c r="E10" s="14" t="s">
        <v>24</v>
      </c>
      <c r="F10" s="14"/>
      <c r="G10" s="14"/>
      <c r="H10" s="13">
        <v>2</v>
      </c>
      <c r="I10" s="15"/>
      <c r="J10" s="15">
        <f t="shared" si="0"/>
        <v>0</v>
      </c>
      <c r="K10" s="14" t="s">
        <v>19</v>
      </c>
      <c r="L10" s="16"/>
      <c r="M10" s="14" t="s">
        <v>117</v>
      </c>
    </row>
    <row r="11" spans="1:13" ht="28" x14ac:dyDescent="0.2">
      <c r="A11" s="9">
        <v>7</v>
      </c>
      <c r="B11" s="10" t="s">
        <v>32</v>
      </c>
      <c r="C11" s="10" t="s">
        <v>36</v>
      </c>
      <c r="D11" s="10" t="s">
        <v>118</v>
      </c>
      <c r="E11" s="10" t="s">
        <v>24</v>
      </c>
      <c r="F11" s="10"/>
      <c r="G11" s="10"/>
      <c r="H11" s="9">
        <v>2</v>
      </c>
      <c r="I11" s="11"/>
      <c r="J11" s="11">
        <f t="shared" si="0"/>
        <v>0</v>
      </c>
      <c r="K11" s="10" t="s">
        <v>19</v>
      </c>
      <c r="L11" s="12"/>
      <c r="M11" s="10" t="s">
        <v>119</v>
      </c>
    </row>
    <row r="12" spans="1:13" ht="28" x14ac:dyDescent="0.2">
      <c r="A12" s="13">
        <v>8</v>
      </c>
      <c r="B12" s="14" t="s">
        <v>32</v>
      </c>
      <c r="C12" s="14" t="s">
        <v>39</v>
      </c>
      <c r="D12" s="14" t="s">
        <v>120</v>
      </c>
      <c r="E12" s="14" t="s">
        <v>24</v>
      </c>
      <c r="F12" s="14"/>
      <c r="G12" s="14"/>
      <c r="H12" s="13">
        <v>1</v>
      </c>
      <c r="I12" s="15"/>
      <c r="J12" s="15">
        <f t="shared" si="0"/>
        <v>0</v>
      </c>
      <c r="K12" s="14" t="s">
        <v>19</v>
      </c>
      <c r="L12" s="16"/>
      <c r="M12" s="14" t="s">
        <v>121</v>
      </c>
    </row>
    <row r="13" spans="1:13" x14ac:dyDescent="0.2">
      <c r="A13" s="9">
        <v>9</v>
      </c>
      <c r="B13" s="10" t="s">
        <v>122</v>
      </c>
      <c r="C13" s="10" t="s">
        <v>123</v>
      </c>
      <c r="D13" s="10" t="s">
        <v>124</v>
      </c>
      <c r="E13" s="10" t="s">
        <v>24</v>
      </c>
      <c r="F13" s="10"/>
      <c r="G13" s="10"/>
      <c r="H13" s="9">
        <v>4</v>
      </c>
      <c r="I13" s="11"/>
      <c r="J13" s="11">
        <f t="shared" si="0"/>
        <v>0</v>
      </c>
      <c r="K13" s="10" t="s">
        <v>50</v>
      </c>
      <c r="L13" s="12"/>
      <c r="M13" s="10" t="s">
        <v>125</v>
      </c>
    </row>
    <row r="14" spans="1:13" ht="28" x14ac:dyDescent="0.2">
      <c r="A14" s="13">
        <v>10</v>
      </c>
      <c r="B14" s="14" t="s">
        <v>122</v>
      </c>
      <c r="C14" s="14" t="s">
        <v>126</v>
      </c>
      <c r="D14" s="14" t="s">
        <v>127</v>
      </c>
      <c r="E14" s="14" t="s">
        <v>24</v>
      </c>
      <c r="F14" s="14"/>
      <c r="G14" s="14"/>
      <c r="H14" s="13">
        <v>2</v>
      </c>
      <c r="I14" s="15"/>
      <c r="J14" s="15">
        <f t="shared" si="0"/>
        <v>0</v>
      </c>
      <c r="K14" s="14" t="s">
        <v>50</v>
      </c>
      <c r="L14" s="16"/>
      <c r="M14" s="14" t="s">
        <v>128</v>
      </c>
    </row>
    <row r="15" spans="1:13" ht="28" x14ac:dyDescent="0.2">
      <c r="A15" s="9">
        <v>11</v>
      </c>
      <c r="B15" s="10" t="s">
        <v>59</v>
      </c>
      <c r="C15" s="10" t="s">
        <v>60</v>
      </c>
      <c r="D15" s="10" t="s">
        <v>129</v>
      </c>
      <c r="E15" s="10" t="s">
        <v>24</v>
      </c>
      <c r="F15" s="10"/>
      <c r="G15" s="10"/>
      <c r="H15" s="9">
        <v>1</v>
      </c>
      <c r="I15" s="11"/>
      <c r="J15" s="11">
        <f t="shared" si="0"/>
        <v>0</v>
      </c>
      <c r="K15" s="10" t="s">
        <v>50</v>
      </c>
      <c r="L15" s="12"/>
      <c r="M15" s="10" t="s">
        <v>130</v>
      </c>
    </row>
    <row r="16" spans="1:13" x14ac:dyDescent="0.2">
      <c r="A16" s="13">
        <v>12</v>
      </c>
      <c r="B16" s="14" t="s">
        <v>59</v>
      </c>
      <c r="C16" s="14" t="s">
        <v>131</v>
      </c>
      <c r="D16" s="14" t="s">
        <v>132</v>
      </c>
      <c r="E16" s="14" t="s">
        <v>24</v>
      </c>
      <c r="F16" s="14"/>
      <c r="G16" s="14"/>
      <c r="H16" s="13">
        <v>2</v>
      </c>
      <c r="I16" s="15"/>
      <c r="J16" s="15">
        <f t="shared" si="0"/>
        <v>0</v>
      </c>
      <c r="K16" s="14" t="s">
        <v>50</v>
      </c>
      <c r="L16" s="16"/>
      <c r="M16" s="14" t="s">
        <v>133</v>
      </c>
    </row>
    <row r="17" spans="1:13" x14ac:dyDescent="0.2">
      <c r="A17" s="9">
        <v>13</v>
      </c>
      <c r="B17" s="10" t="s">
        <v>59</v>
      </c>
      <c r="C17" s="10" t="s">
        <v>66</v>
      </c>
      <c r="D17" s="10" t="s">
        <v>134</v>
      </c>
      <c r="E17" s="10" t="s">
        <v>24</v>
      </c>
      <c r="F17" s="10"/>
      <c r="G17" s="10"/>
      <c r="H17" s="9">
        <v>2</v>
      </c>
      <c r="I17" s="11"/>
      <c r="J17" s="11">
        <f t="shared" si="0"/>
        <v>0</v>
      </c>
      <c r="K17" s="10" t="s">
        <v>50</v>
      </c>
      <c r="L17" s="12"/>
      <c r="M17" s="10" t="s">
        <v>135</v>
      </c>
    </row>
    <row r="18" spans="1:13" x14ac:dyDescent="0.2">
      <c r="A18" s="13">
        <v>14</v>
      </c>
      <c r="B18" s="14" t="s">
        <v>59</v>
      </c>
      <c r="C18" s="14" t="s">
        <v>87</v>
      </c>
      <c r="D18" s="14" t="s">
        <v>136</v>
      </c>
      <c r="E18" s="14" t="s">
        <v>24</v>
      </c>
      <c r="F18" s="14"/>
      <c r="G18" s="14"/>
      <c r="H18" s="13">
        <v>2</v>
      </c>
      <c r="I18" s="15"/>
      <c r="J18" s="15">
        <f t="shared" si="0"/>
        <v>0</v>
      </c>
      <c r="K18" s="14" t="s">
        <v>50</v>
      </c>
      <c r="L18" s="16"/>
      <c r="M18" s="14" t="s">
        <v>137</v>
      </c>
    </row>
    <row r="19" spans="1:13" x14ac:dyDescent="0.2">
      <c r="A19" s="9">
        <v>15</v>
      </c>
      <c r="B19" s="10" t="s">
        <v>80</v>
      </c>
      <c r="C19" s="10" t="s">
        <v>81</v>
      </c>
      <c r="D19" s="10" t="s">
        <v>138</v>
      </c>
      <c r="E19" s="10" t="s">
        <v>24</v>
      </c>
      <c r="F19" s="10"/>
      <c r="G19" s="10"/>
      <c r="H19" s="9">
        <v>2</v>
      </c>
      <c r="I19" s="11"/>
      <c r="J19" s="11">
        <f t="shared" si="0"/>
        <v>0</v>
      </c>
      <c r="K19" s="10" t="s">
        <v>50</v>
      </c>
      <c r="L19" s="12"/>
      <c r="M19" s="10" t="s">
        <v>139</v>
      </c>
    </row>
    <row r="20" spans="1:13" x14ac:dyDescent="0.2">
      <c r="A20" s="13">
        <v>16</v>
      </c>
      <c r="B20" s="14" t="s">
        <v>80</v>
      </c>
      <c r="C20" s="14" t="s">
        <v>84</v>
      </c>
      <c r="D20" s="14" t="s">
        <v>140</v>
      </c>
      <c r="E20" s="14" t="s">
        <v>24</v>
      </c>
      <c r="F20" s="14"/>
      <c r="G20" s="14"/>
      <c r="H20" s="13">
        <v>1</v>
      </c>
      <c r="I20" s="15"/>
      <c r="J20" s="15">
        <f t="shared" si="0"/>
        <v>0</v>
      </c>
      <c r="K20" s="14" t="s">
        <v>50</v>
      </c>
      <c r="L20" s="16"/>
      <c r="M20" s="14" t="s">
        <v>141</v>
      </c>
    </row>
    <row r="21" spans="1:13" x14ac:dyDescent="0.2">
      <c r="A21" s="9">
        <v>17</v>
      </c>
      <c r="B21" s="10" t="s">
        <v>42</v>
      </c>
      <c r="C21" s="10" t="s">
        <v>47</v>
      </c>
      <c r="D21" s="10" t="s">
        <v>142</v>
      </c>
      <c r="E21" s="10" t="s">
        <v>49</v>
      </c>
      <c r="F21" s="10"/>
      <c r="G21" s="10"/>
      <c r="H21" s="9">
        <v>1</v>
      </c>
      <c r="I21" s="11"/>
      <c r="J21" s="11">
        <f t="shared" si="0"/>
        <v>0</v>
      </c>
      <c r="K21" s="10" t="s">
        <v>50</v>
      </c>
      <c r="L21" s="12"/>
      <c r="M21" s="10" t="s">
        <v>143</v>
      </c>
    </row>
    <row r="22" spans="1:13" ht="28" x14ac:dyDescent="0.2">
      <c r="A22" s="13">
        <v>18</v>
      </c>
      <c r="B22" s="14" t="s">
        <v>42</v>
      </c>
      <c r="C22" s="14" t="s">
        <v>144</v>
      </c>
      <c r="D22" s="14" t="s">
        <v>145</v>
      </c>
      <c r="E22" s="14" t="s">
        <v>24</v>
      </c>
      <c r="F22" s="14"/>
      <c r="G22" s="14"/>
      <c r="H22" s="13">
        <v>4</v>
      </c>
      <c r="I22" s="15"/>
      <c r="J22" s="15">
        <f t="shared" si="0"/>
        <v>0</v>
      </c>
      <c r="K22" s="14" t="s">
        <v>50</v>
      </c>
      <c r="L22" s="16"/>
      <c r="M22" s="14" t="s">
        <v>146</v>
      </c>
    </row>
    <row r="23" spans="1:13" x14ac:dyDescent="0.2">
      <c r="A23" s="9">
        <v>19</v>
      </c>
      <c r="B23" s="10" t="s">
        <v>42</v>
      </c>
      <c r="C23" s="10" t="s">
        <v>147</v>
      </c>
      <c r="D23" s="10" t="s">
        <v>148</v>
      </c>
      <c r="E23" s="10" t="s">
        <v>24</v>
      </c>
      <c r="F23" s="10"/>
      <c r="G23" s="10"/>
      <c r="H23" s="9">
        <v>1</v>
      </c>
      <c r="I23" s="11"/>
      <c r="J23" s="11">
        <f t="shared" si="0"/>
        <v>0</v>
      </c>
      <c r="K23" s="10" t="s">
        <v>50</v>
      </c>
      <c r="L23" s="12"/>
      <c r="M23" s="10" t="s">
        <v>149</v>
      </c>
    </row>
    <row r="24" spans="1:13" ht="28" x14ac:dyDescent="0.2">
      <c r="A24" s="13">
        <v>20</v>
      </c>
      <c r="B24" s="14" t="s">
        <v>150</v>
      </c>
      <c r="C24" s="14" t="s">
        <v>151</v>
      </c>
      <c r="D24" s="14" t="s">
        <v>152</v>
      </c>
      <c r="E24" s="14" t="s">
        <v>113</v>
      </c>
      <c r="F24" s="14"/>
      <c r="G24" s="14"/>
      <c r="H24" s="13">
        <v>1</v>
      </c>
      <c r="I24" s="15"/>
      <c r="J24" s="15">
        <f t="shared" si="0"/>
        <v>0</v>
      </c>
      <c r="K24" s="14" t="s">
        <v>50</v>
      </c>
      <c r="L24" s="16"/>
      <c r="M24" s="14" t="s">
        <v>153</v>
      </c>
    </row>
    <row r="25" spans="1:13" x14ac:dyDescent="0.2">
      <c r="A25" s="9">
        <v>21</v>
      </c>
      <c r="B25" s="10" t="s">
        <v>90</v>
      </c>
      <c r="C25" s="10" t="s">
        <v>91</v>
      </c>
      <c r="D25" s="10" t="s">
        <v>154</v>
      </c>
      <c r="E25" s="10" t="s">
        <v>93</v>
      </c>
      <c r="F25" s="10"/>
      <c r="G25" s="10"/>
      <c r="H25" s="9">
        <v>1</v>
      </c>
      <c r="I25" s="11"/>
      <c r="J25" s="11">
        <f t="shared" si="0"/>
        <v>0</v>
      </c>
      <c r="K25" s="10" t="s">
        <v>50</v>
      </c>
      <c r="L25" s="12"/>
      <c r="M25" s="10" t="s">
        <v>155</v>
      </c>
    </row>
    <row r="26" spans="1:13" ht="28" x14ac:dyDescent="0.2">
      <c r="A26" s="13">
        <v>22</v>
      </c>
      <c r="B26" s="14" t="s">
        <v>69</v>
      </c>
      <c r="C26" s="14" t="s">
        <v>156</v>
      </c>
      <c r="D26" s="14" t="s">
        <v>157</v>
      </c>
      <c r="E26" s="14" t="s">
        <v>24</v>
      </c>
      <c r="F26" s="14"/>
      <c r="G26" s="14"/>
      <c r="H26" s="13">
        <v>2</v>
      </c>
      <c r="I26" s="15"/>
      <c r="J26" s="15">
        <f t="shared" si="0"/>
        <v>0</v>
      </c>
      <c r="K26" s="14" t="s">
        <v>50</v>
      </c>
      <c r="L26" s="16"/>
      <c r="M26" s="14" t="s">
        <v>158</v>
      </c>
    </row>
    <row r="27" spans="1:13" ht="29" x14ac:dyDescent="0.2">
      <c r="A27" s="13">
        <v>23</v>
      </c>
      <c r="B27" s="10" t="s">
        <v>52</v>
      </c>
      <c r="C27" s="30" t="s">
        <v>188</v>
      </c>
      <c r="D27" s="33" t="s">
        <v>189</v>
      </c>
      <c r="E27" s="30" t="s">
        <v>24</v>
      </c>
      <c r="F27" s="10"/>
      <c r="G27" s="32" t="s">
        <v>190</v>
      </c>
      <c r="H27" s="9">
        <v>300</v>
      </c>
      <c r="I27" s="11">
        <v>1.03</v>
      </c>
      <c r="J27" s="11">
        <f t="shared" ref="J27:J51" si="1">IF(OR(H27="",I27=""),"",H27*I27)</f>
        <v>309</v>
      </c>
      <c r="K27" s="10"/>
      <c r="L27" s="12"/>
      <c r="M27" s="30" t="s">
        <v>191</v>
      </c>
    </row>
    <row r="28" spans="1:13" ht="42" x14ac:dyDescent="0.2">
      <c r="A28" s="13"/>
      <c r="B28" s="31" t="s">
        <v>192</v>
      </c>
      <c r="C28" s="31" t="s">
        <v>194</v>
      </c>
      <c r="D28" s="31" t="s">
        <v>195</v>
      </c>
      <c r="E28" s="31" t="s">
        <v>113</v>
      </c>
      <c r="F28" s="14"/>
      <c r="G28" s="34" t="s">
        <v>193</v>
      </c>
      <c r="H28" s="13">
        <f>8*4</f>
        <v>32</v>
      </c>
      <c r="I28" s="15">
        <v>7.0000000000000001E-3</v>
      </c>
      <c r="J28" s="15">
        <f t="shared" si="1"/>
        <v>0.224</v>
      </c>
      <c r="K28" s="14"/>
      <c r="L28" s="16"/>
      <c r="M28" s="31" t="s">
        <v>196</v>
      </c>
    </row>
    <row r="29" spans="1:13" x14ac:dyDescent="0.2">
      <c r="A29" s="9"/>
      <c r="B29" s="10"/>
      <c r="C29" s="10"/>
      <c r="D29" s="10"/>
      <c r="E29" s="10"/>
      <c r="F29" s="10"/>
      <c r="G29" s="10"/>
      <c r="H29" s="9"/>
      <c r="I29" s="11"/>
      <c r="J29" s="11" t="str">
        <f t="shared" si="1"/>
        <v/>
      </c>
      <c r="K29" s="10"/>
      <c r="L29" s="12"/>
      <c r="M29" s="10"/>
    </row>
    <row r="30" spans="1:13" x14ac:dyDescent="0.2">
      <c r="A30" s="13"/>
      <c r="B30" s="14"/>
      <c r="C30" s="14"/>
      <c r="D30" s="14"/>
      <c r="E30" s="14"/>
      <c r="F30" s="14"/>
      <c r="G30" s="14"/>
      <c r="H30" s="13"/>
      <c r="I30" s="15"/>
      <c r="J30" s="15" t="str">
        <f t="shared" si="1"/>
        <v/>
      </c>
      <c r="K30" s="14"/>
      <c r="L30" s="16"/>
      <c r="M30" s="14"/>
    </row>
    <row r="31" spans="1:13" x14ac:dyDescent="0.2">
      <c r="A31" s="9"/>
      <c r="B31" s="10"/>
      <c r="C31" s="10"/>
      <c r="D31" s="10"/>
      <c r="E31" s="10"/>
      <c r="F31" s="10"/>
      <c r="G31" s="10"/>
      <c r="H31" s="9"/>
      <c r="I31" s="11"/>
      <c r="J31" s="11" t="str">
        <f t="shared" si="1"/>
        <v/>
      </c>
      <c r="K31" s="10"/>
      <c r="L31" s="12"/>
      <c r="M31" s="10"/>
    </row>
    <row r="32" spans="1:13" x14ac:dyDescent="0.2">
      <c r="A32" s="13"/>
      <c r="B32" s="14"/>
      <c r="C32" s="14"/>
      <c r="D32" s="14"/>
      <c r="E32" s="14"/>
      <c r="F32" s="14"/>
      <c r="G32" s="14"/>
      <c r="H32" s="13"/>
      <c r="I32" s="15"/>
      <c r="J32" s="15" t="str">
        <f t="shared" si="1"/>
        <v/>
      </c>
      <c r="K32" s="14"/>
      <c r="L32" s="16"/>
      <c r="M32" s="14"/>
    </row>
    <row r="33" spans="1:13" x14ac:dyDescent="0.2">
      <c r="A33" s="9"/>
      <c r="B33" s="10"/>
      <c r="C33" s="10"/>
      <c r="D33" s="10"/>
      <c r="E33" s="10"/>
      <c r="F33" s="10"/>
      <c r="G33" s="10"/>
      <c r="H33" s="9"/>
      <c r="I33" s="11"/>
      <c r="J33" s="11" t="str">
        <f t="shared" si="1"/>
        <v/>
      </c>
      <c r="K33" s="10"/>
      <c r="L33" s="12"/>
      <c r="M33" s="10"/>
    </row>
    <row r="34" spans="1:13" x14ac:dyDescent="0.2">
      <c r="A34" s="13"/>
      <c r="B34" s="14"/>
      <c r="C34" s="14"/>
      <c r="D34" s="14"/>
      <c r="E34" s="14"/>
      <c r="F34" s="14"/>
      <c r="G34" s="14"/>
      <c r="H34" s="13"/>
      <c r="I34" s="15"/>
      <c r="J34" s="15" t="str">
        <f t="shared" si="1"/>
        <v/>
      </c>
      <c r="K34" s="14"/>
      <c r="L34" s="16"/>
      <c r="M34" s="14"/>
    </row>
    <row r="35" spans="1:13" x14ac:dyDescent="0.2">
      <c r="A35" s="9"/>
      <c r="B35" s="10"/>
      <c r="C35" s="10"/>
      <c r="D35" s="10"/>
      <c r="E35" s="10"/>
      <c r="F35" s="10"/>
      <c r="G35" s="10"/>
      <c r="H35" s="9"/>
      <c r="I35" s="11"/>
      <c r="J35" s="11" t="str">
        <f t="shared" si="1"/>
        <v/>
      </c>
      <c r="K35" s="10"/>
      <c r="L35" s="12"/>
      <c r="M35" s="10"/>
    </row>
    <row r="36" spans="1:13" x14ac:dyDescent="0.2">
      <c r="A36" s="13"/>
      <c r="B36" s="14"/>
      <c r="C36" s="14"/>
      <c r="D36" s="14"/>
      <c r="E36" s="14"/>
      <c r="F36" s="14"/>
      <c r="G36" s="14"/>
      <c r="H36" s="13"/>
      <c r="I36" s="15"/>
      <c r="J36" s="15" t="str">
        <f t="shared" si="1"/>
        <v/>
      </c>
      <c r="K36" s="14"/>
      <c r="L36" s="16"/>
      <c r="M36" s="14"/>
    </row>
    <row r="37" spans="1:13" x14ac:dyDescent="0.2">
      <c r="A37" s="9"/>
      <c r="B37" s="10"/>
      <c r="C37" s="10"/>
      <c r="D37" s="10"/>
      <c r="E37" s="10"/>
      <c r="F37" s="10"/>
      <c r="G37" s="10"/>
      <c r="H37" s="9"/>
      <c r="I37" s="11"/>
      <c r="J37" s="11" t="str">
        <f t="shared" si="1"/>
        <v/>
      </c>
      <c r="K37" s="10"/>
      <c r="L37" s="12"/>
      <c r="M37" s="10"/>
    </row>
    <row r="38" spans="1:13" x14ac:dyDescent="0.2">
      <c r="A38" s="13"/>
      <c r="B38" s="14"/>
      <c r="C38" s="14"/>
      <c r="D38" s="14"/>
      <c r="E38" s="14"/>
      <c r="F38" s="14"/>
      <c r="G38" s="14"/>
      <c r="H38" s="13"/>
      <c r="I38" s="15"/>
      <c r="J38" s="15" t="str">
        <f t="shared" si="1"/>
        <v/>
      </c>
      <c r="K38" s="14"/>
      <c r="L38" s="16"/>
      <c r="M38" s="14"/>
    </row>
    <row r="39" spans="1:13" x14ac:dyDescent="0.2">
      <c r="A39" s="9"/>
      <c r="B39" s="10"/>
      <c r="C39" s="10"/>
      <c r="D39" s="10"/>
      <c r="E39" s="10"/>
      <c r="F39" s="10"/>
      <c r="G39" s="10"/>
      <c r="H39" s="9"/>
      <c r="I39" s="11"/>
      <c r="J39" s="11" t="str">
        <f t="shared" si="1"/>
        <v/>
      </c>
      <c r="K39" s="10"/>
      <c r="L39" s="12"/>
      <c r="M39" s="10"/>
    </row>
    <row r="40" spans="1:13" x14ac:dyDescent="0.2">
      <c r="A40" s="13"/>
      <c r="B40" s="14"/>
      <c r="C40" s="14"/>
      <c r="D40" s="14"/>
      <c r="E40" s="14"/>
      <c r="F40" s="14"/>
      <c r="G40" s="14"/>
      <c r="H40" s="13"/>
      <c r="I40" s="15"/>
      <c r="J40" s="15" t="str">
        <f t="shared" si="1"/>
        <v/>
      </c>
      <c r="K40" s="14"/>
      <c r="L40" s="16"/>
      <c r="M40" s="14"/>
    </row>
    <row r="41" spans="1:13" x14ac:dyDescent="0.2">
      <c r="A41" s="9"/>
      <c r="B41" s="10"/>
      <c r="C41" s="10"/>
      <c r="D41" s="10"/>
      <c r="E41" s="10"/>
      <c r="F41" s="10"/>
      <c r="G41" s="10"/>
      <c r="H41" s="9"/>
      <c r="I41" s="11"/>
      <c r="J41" s="11" t="str">
        <f t="shared" si="1"/>
        <v/>
      </c>
      <c r="K41" s="10"/>
      <c r="L41" s="12"/>
      <c r="M41" s="10"/>
    </row>
    <row r="42" spans="1:13" x14ac:dyDescent="0.2">
      <c r="A42" s="13"/>
      <c r="B42" s="14"/>
      <c r="C42" s="14"/>
      <c r="D42" s="14"/>
      <c r="E42" s="14"/>
      <c r="F42" s="14"/>
      <c r="G42" s="14"/>
      <c r="H42" s="13"/>
      <c r="I42" s="15"/>
      <c r="J42" s="15" t="str">
        <f t="shared" si="1"/>
        <v/>
      </c>
      <c r="K42" s="14"/>
      <c r="L42" s="16"/>
      <c r="M42" s="14"/>
    </row>
    <row r="43" spans="1:13" x14ac:dyDescent="0.2">
      <c r="A43" s="9"/>
      <c r="B43" s="10"/>
      <c r="C43" s="10"/>
      <c r="D43" s="10"/>
      <c r="E43" s="10"/>
      <c r="F43" s="10"/>
      <c r="G43" s="10"/>
      <c r="H43" s="9"/>
      <c r="I43" s="11"/>
      <c r="J43" s="11" t="str">
        <f t="shared" si="1"/>
        <v/>
      </c>
      <c r="K43" s="10"/>
      <c r="L43" s="12"/>
      <c r="M43" s="10"/>
    </row>
    <row r="44" spans="1:13" x14ac:dyDescent="0.2">
      <c r="A44" s="13"/>
      <c r="B44" s="14"/>
      <c r="C44" s="14"/>
      <c r="D44" s="14"/>
      <c r="E44" s="14"/>
      <c r="F44" s="14"/>
      <c r="G44" s="14"/>
      <c r="H44" s="13"/>
      <c r="I44" s="15"/>
      <c r="J44" s="15" t="str">
        <f t="shared" si="1"/>
        <v/>
      </c>
      <c r="K44" s="14"/>
      <c r="L44" s="16"/>
      <c r="M44" s="14"/>
    </row>
    <row r="45" spans="1:13" x14ac:dyDescent="0.2">
      <c r="A45" s="9"/>
      <c r="B45" s="10"/>
      <c r="C45" s="10"/>
      <c r="D45" s="10"/>
      <c r="E45" s="10"/>
      <c r="F45" s="10"/>
      <c r="G45" s="10"/>
      <c r="H45" s="9"/>
      <c r="I45" s="11"/>
      <c r="J45" s="11" t="str">
        <f t="shared" si="1"/>
        <v/>
      </c>
      <c r="K45" s="10"/>
      <c r="L45" s="12"/>
      <c r="M45" s="10"/>
    </row>
    <row r="46" spans="1:13" x14ac:dyDescent="0.2">
      <c r="A46" s="13"/>
      <c r="B46" s="14"/>
      <c r="C46" s="14"/>
      <c r="D46" s="14"/>
      <c r="E46" s="14"/>
      <c r="F46" s="14"/>
      <c r="G46" s="14"/>
      <c r="H46" s="13"/>
      <c r="I46" s="15"/>
      <c r="J46" s="15" t="str">
        <f t="shared" si="1"/>
        <v/>
      </c>
      <c r="K46" s="14"/>
      <c r="L46" s="16"/>
      <c r="M46" s="14"/>
    </row>
    <row r="47" spans="1:13" x14ac:dyDescent="0.2">
      <c r="A47" s="9"/>
      <c r="B47" s="10"/>
      <c r="C47" s="10"/>
      <c r="D47" s="10"/>
      <c r="E47" s="10"/>
      <c r="F47" s="10"/>
      <c r="G47" s="10"/>
      <c r="H47" s="9"/>
      <c r="I47" s="11"/>
      <c r="J47" s="11" t="str">
        <f t="shared" si="1"/>
        <v/>
      </c>
      <c r="K47" s="10"/>
      <c r="L47" s="12"/>
      <c r="M47" s="10"/>
    </row>
    <row r="48" spans="1:13" x14ac:dyDescent="0.2">
      <c r="A48" s="13"/>
      <c r="B48" s="14"/>
      <c r="C48" s="14"/>
      <c r="D48" s="14"/>
      <c r="E48" s="14"/>
      <c r="F48" s="14"/>
      <c r="G48" s="14"/>
      <c r="H48" s="13"/>
      <c r="I48" s="15"/>
      <c r="J48" s="15" t="str">
        <f t="shared" si="1"/>
        <v/>
      </c>
      <c r="K48" s="14"/>
      <c r="L48" s="16"/>
      <c r="M48" s="14"/>
    </row>
    <row r="49" spans="1:13" x14ac:dyDescent="0.2">
      <c r="A49" s="9"/>
      <c r="B49" s="10"/>
      <c r="C49" s="10"/>
      <c r="D49" s="10"/>
      <c r="E49" s="10"/>
      <c r="F49" s="10"/>
      <c r="G49" s="10"/>
      <c r="H49" s="9"/>
      <c r="I49" s="11"/>
      <c r="J49" s="11" t="str">
        <f t="shared" si="1"/>
        <v/>
      </c>
      <c r="K49" s="10"/>
      <c r="L49" s="12"/>
      <c r="M49" s="10"/>
    </row>
    <row r="50" spans="1:13" x14ac:dyDescent="0.2">
      <c r="A50" s="13"/>
      <c r="B50" s="14"/>
      <c r="C50" s="14"/>
      <c r="D50" s="14"/>
      <c r="E50" s="14"/>
      <c r="F50" s="14"/>
      <c r="G50" s="14"/>
      <c r="H50" s="13"/>
      <c r="I50" s="15"/>
      <c r="J50" s="15" t="str">
        <f t="shared" si="1"/>
        <v/>
      </c>
      <c r="K50" s="14"/>
      <c r="L50" s="16"/>
      <c r="M50" s="14"/>
    </row>
    <row r="51" spans="1:13" x14ac:dyDescent="0.2">
      <c r="A51" s="9"/>
      <c r="B51" s="10"/>
      <c r="C51" s="10"/>
      <c r="D51" s="10"/>
      <c r="E51" s="10"/>
      <c r="F51" s="10"/>
      <c r="G51" s="10"/>
      <c r="H51" s="9"/>
      <c r="I51" s="11"/>
      <c r="J51" s="11" t="str">
        <f t="shared" si="1"/>
        <v/>
      </c>
      <c r="K51" s="10"/>
      <c r="L51" s="12"/>
      <c r="M51" s="10"/>
    </row>
    <row r="53" spans="1:13" ht="16" x14ac:dyDescent="0.2">
      <c r="B53" s="17" t="s">
        <v>97</v>
      </c>
      <c r="H53" s="20">
        <f>SUM(H5:H51)</f>
        <v>676</v>
      </c>
      <c r="J53" s="21">
        <f>SUM(J5:J51)</f>
        <v>413.01079999999996</v>
      </c>
    </row>
  </sheetData>
  <mergeCells count="2">
    <mergeCell ref="A1:M1"/>
    <mergeCell ref="A2:M2"/>
  </mergeCells>
  <dataValidations count="2">
    <dataValidation type="list" allowBlank="1" sqref="K5:K51" xr:uid="{00000000-0002-0000-0100-000000000000}">
      <formula1>"Pending,Candidate,Selected,Quoted,Ordered,Received,Installed,Tested,Cancelled"</formula1>
      <formula2>0</formula2>
    </dataValidation>
    <dataValidation type="list" allowBlank="1" sqref="B5:B51" xr:uid="{00000000-0002-0000-0100-000001000000}">
      <formula1>"FPGA,Switch,R-2R Ladder,Vref,Analog,PSU,PCB,Output,Connectors,Inputs,Chassis,Misc"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4"/>
  <sheetViews>
    <sheetView zoomScaleNormal="100" workbookViewId="0"/>
  </sheetViews>
  <sheetFormatPr baseColWidth="10" defaultColWidth="8.6640625" defaultRowHeight="15" x14ac:dyDescent="0.2"/>
  <cols>
    <col min="1" max="1" width="22" customWidth="1"/>
    <col min="2" max="5" width="16" customWidth="1"/>
  </cols>
  <sheetData>
    <row r="1" spans="1:5" ht="27.75" customHeight="1" x14ac:dyDescent="0.2">
      <c r="A1" s="7" t="s">
        <v>159</v>
      </c>
      <c r="B1" s="7"/>
      <c r="C1" s="7"/>
      <c r="D1" s="7"/>
      <c r="E1" s="7"/>
    </row>
    <row r="3" spans="1:5" x14ac:dyDescent="0.2">
      <c r="A3" s="22" t="s">
        <v>160</v>
      </c>
      <c r="B3" s="22" t="s">
        <v>161</v>
      </c>
      <c r="C3" s="22" t="s">
        <v>162</v>
      </c>
      <c r="D3" s="22" t="s">
        <v>163</v>
      </c>
      <c r="E3" s="22" t="s">
        <v>164</v>
      </c>
    </row>
    <row r="4" spans="1:5" ht="18" x14ac:dyDescent="0.2">
      <c r="A4" s="23">
        <f>COUNTA('Parts List'!C5:C56)</f>
        <v>22</v>
      </c>
      <c r="B4" s="23">
        <f>SUM('Parts List'!H5:H56)</f>
        <v>562</v>
      </c>
      <c r="C4" s="24">
        <f>SUM('Parts List'!J5:J56)</f>
        <v>103.7868</v>
      </c>
      <c r="D4" s="24">
        <f>IFERROR(C4/B4,0)</f>
        <v>0.18467402135231317</v>
      </c>
      <c r="E4" s="23">
        <f>SUMPRODUCT((('Parts List'!E5:E56&lt;&gt;"")/COUNTIF('Parts List'!E5:E56,'Parts List'!E5:E56&amp;"")))</f>
        <v>4.9999999999999982</v>
      </c>
    </row>
    <row r="6" spans="1:5" ht="16" x14ac:dyDescent="0.2">
      <c r="A6" s="3" t="s">
        <v>165</v>
      </c>
      <c r="B6" s="3"/>
      <c r="C6" s="3"/>
    </row>
    <row r="7" spans="1:5" x14ac:dyDescent="0.2">
      <c r="A7" s="25" t="s">
        <v>12</v>
      </c>
      <c r="B7" s="25" t="s">
        <v>160</v>
      </c>
      <c r="C7" s="25" t="s">
        <v>166</v>
      </c>
    </row>
    <row r="8" spans="1:5" x14ac:dyDescent="0.2">
      <c r="A8" s="26" t="s">
        <v>50</v>
      </c>
      <c r="B8" s="27">
        <f>COUNTIF('Parts List'!K5:K56,A8)</f>
        <v>10</v>
      </c>
      <c r="C8" s="28">
        <f>SUMIF('Parts List'!K5:K56,A8,'Parts List'!J5:J56)</f>
        <v>0</v>
      </c>
    </row>
    <row r="9" spans="1:5" x14ac:dyDescent="0.2">
      <c r="A9" s="26" t="s">
        <v>45</v>
      </c>
      <c r="B9" s="27">
        <f>COUNTIF('Parts List'!K5:K56,A9)</f>
        <v>1</v>
      </c>
      <c r="C9" s="28">
        <f>SUMIF('Parts List'!K5:K56,A9,'Parts List'!J5:J56)</f>
        <v>0</v>
      </c>
    </row>
    <row r="10" spans="1:5" x14ac:dyDescent="0.2">
      <c r="A10" s="26" t="s">
        <v>19</v>
      </c>
      <c r="B10" s="27">
        <f>COUNTIF('Parts List'!K5:K56,A10)</f>
        <v>11</v>
      </c>
      <c r="C10" s="28">
        <f>SUMIF('Parts List'!K5:K56,A10,'Parts List'!J5:J56)</f>
        <v>103.7868</v>
      </c>
    </row>
    <row r="11" spans="1:5" x14ac:dyDescent="0.2">
      <c r="A11" s="26" t="s">
        <v>167</v>
      </c>
      <c r="B11" s="27">
        <f>COUNTIF('Parts List'!K5:K56,A11)</f>
        <v>0</v>
      </c>
      <c r="C11" s="28">
        <f>SUMIF('Parts List'!K5:K56,A11,'Parts List'!J5:J56)</f>
        <v>0</v>
      </c>
    </row>
    <row r="12" spans="1:5" x14ac:dyDescent="0.2">
      <c r="A12" s="26" t="s">
        <v>168</v>
      </c>
      <c r="B12" s="27">
        <f>COUNTIF('Parts List'!K5:K56,A12)</f>
        <v>0</v>
      </c>
      <c r="C12" s="28">
        <f>SUMIF('Parts List'!K5:K56,A12,'Parts List'!J5:J56)</f>
        <v>0</v>
      </c>
    </row>
    <row r="13" spans="1:5" x14ac:dyDescent="0.2">
      <c r="A13" s="26" t="s">
        <v>169</v>
      </c>
      <c r="B13" s="27">
        <f>COUNTIF('Parts List'!K5:K56,A13)</f>
        <v>0</v>
      </c>
      <c r="C13" s="28">
        <f>SUMIF('Parts List'!K5:K56,A13,'Parts List'!J5:J56)</f>
        <v>0</v>
      </c>
    </row>
    <row r="14" spans="1:5" x14ac:dyDescent="0.2">
      <c r="A14" s="26" t="s">
        <v>170</v>
      </c>
      <c r="B14" s="27">
        <f>COUNTIF('Parts List'!K5:K56,A14)</f>
        <v>0</v>
      </c>
      <c r="C14" s="28">
        <f>SUMIF('Parts List'!K5:K56,A14,'Parts List'!J5:J56)</f>
        <v>0</v>
      </c>
    </row>
    <row r="15" spans="1:5" x14ac:dyDescent="0.2">
      <c r="A15" s="26" t="s">
        <v>171</v>
      </c>
      <c r="B15" s="27">
        <f>COUNTIF('Parts List'!K5:K56,A15)</f>
        <v>0</v>
      </c>
      <c r="C15" s="28">
        <f>SUMIF('Parts List'!K5:K56,A15,'Parts List'!J5:J56)</f>
        <v>0</v>
      </c>
    </row>
    <row r="16" spans="1:5" x14ac:dyDescent="0.2">
      <c r="A16" s="26" t="s">
        <v>114</v>
      </c>
      <c r="B16" s="27">
        <f>COUNTIF('Parts List'!K5:K56,A16)</f>
        <v>0</v>
      </c>
      <c r="C16" s="28">
        <f>SUMIF('Parts List'!K5:K56,A16,'Parts List'!J5:J56)</f>
        <v>0</v>
      </c>
    </row>
    <row r="18" spans="1:3" ht="16" x14ac:dyDescent="0.2">
      <c r="A18" s="3" t="s">
        <v>172</v>
      </c>
      <c r="B18" s="3"/>
      <c r="C18" s="3"/>
    </row>
    <row r="19" spans="1:3" x14ac:dyDescent="0.2">
      <c r="A19" s="25" t="s">
        <v>3</v>
      </c>
      <c r="B19" s="25" t="s">
        <v>160</v>
      </c>
      <c r="C19" s="25" t="s">
        <v>166</v>
      </c>
    </row>
    <row r="20" spans="1:3" x14ac:dyDescent="0.2">
      <c r="A20" s="26" t="s">
        <v>15</v>
      </c>
      <c r="B20" s="27">
        <f>COUNTIF('Parts List'!B5:B56,A20)</f>
        <v>1</v>
      </c>
      <c r="C20" s="28">
        <f>SUMIF('Parts List'!B5:B56,A20,'Parts List'!J5:J56)</f>
        <v>99</v>
      </c>
    </row>
    <row r="21" spans="1:3" x14ac:dyDescent="0.2">
      <c r="A21" s="26" t="s">
        <v>21</v>
      </c>
      <c r="B21" s="27">
        <f>COUNTIF('Parts List'!B5:B56,A21)</f>
        <v>3</v>
      </c>
      <c r="C21" s="28">
        <f>SUMIF('Parts List'!B5:B56,A21,'Parts List'!J5:J56)</f>
        <v>4.7867999999999995</v>
      </c>
    </row>
    <row r="22" spans="1:3" x14ac:dyDescent="0.2">
      <c r="A22" s="26" t="s">
        <v>32</v>
      </c>
      <c r="B22" s="27">
        <f>COUNTIF('Parts List'!B5:B56,A22)</f>
        <v>3</v>
      </c>
      <c r="C22" s="28">
        <f>SUMIF('Parts List'!B5:B56,A22,'Parts List'!J5:J56)</f>
        <v>0</v>
      </c>
    </row>
    <row r="23" spans="1:3" x14ac:dyDescent="0.2">
      <c r="A23" s="26" t="s">
        <v>42</v>
      </c>
      <c r="B23" s="27">
        <f>COUNTIF('Parts List'!B5:B56,A23)</f>
        <v>2</v>
      </c>
      <c r="C23" s="28">
        <f>SUMIF('Parts List'!B5:B56,A23,'Parts List'!J5:J56)</f>
        <v>0</v>
      </c>
    </row>
    <row r="24" spans="1:3" x14ac:dyDescent="0.2">
      <c r="A24" s="26" t="s">
        <v>52</v>
      </c>
      <c r="B24" s="27">
        <f>COUNTIF('Parts List'!B5:B56,A24)</f>
        <v>2</v>
      </c>
      <c r="C24" s="28">
        <f>SUMIF('Parts List'!B5:B56,A24,'Parts List'!J5:J56)</f>
        <v>0</v>
      </c>
    </row>
    <row r="25" spans="1:3" x14ac:dyDescent="0.2">
      <c r="A25" s="26" t="s">
        <v>59</v>
      </c>
      <c r="B25" s="27">
        <f>COUNTIF('Parts List'!B5:B56,A25)</f>
        <v>3</v>
      </c>
      <c r="C25" s="28">
        <f>SUMIF('Parts List'!B5:B56,A25,'Parts List'!J5:J56)</f>
        <v>0</v>
      </c>
    </row>
    <row r="26" spans="1:3" x14ac:dyDescent="0.2">
      <c r="A26" s="26" t="s">
        <v>69</v>
      </c>
      <c r="B26" s="27">
        <f>COUNTIF('Parts List'!B5:B56,A26)</f>
        <v>3</v>
      </c>
      <c r="C26" s="28">
        <f>SUMIF('Parts List'!B5:B56,A26,'Parts List'!J5:J56)</f>
        <v>0</v>
      </c>
    </row>
    <row r="27" spans="1:3" x14ac:dyDescent="0.2">
      <c r="A27" s="26" t="s">
        <v>80</v>
      </c>
      <c r="B27" s="27">
        <f>COUNTIF('Parts List'!B5:B56,A27)</f>
        <v>3</v>
      </c>
      <c r="C27" s="28">
        <f>SUMIF('Parts List'!B5:B56,A27,'Parts List'!J5:J56)</f>
        <v>0</v>
      </c>
    </row>
    <row r="28" spans="1:3" x14ac:dyDescent="0.2">
      <c r="A28" s="26" t="s">
        <v>90</v>
      </c>
      <c r="B28" s="27">
        <f>COUNTIF('Parts List'!B5:B56,A28)</f>
        <v>2</v>
      </c>
      <c r="C28" s="28">
        <f>SUMIF('Parts List'!B5:B56,A28,'Parts List'!J5:J56)</f>
        <v>0</v>
      </c>
    </row>
    <row r="29" spans="1:3" x14ac:dyDescent="0.2">
      <c r="A29" s="26" t="s">
        <v>173</v>
      </c>
      <c r="B29" s="27">
        <f>COUNTIF('Parts List'!B5:B56,A29)</f>
        <v>0</v>
      </c>
      <c r="C29" s="28">
        <f>SUMIF('Parts List'!B5:B56,A29,'Parts List'!J5:J56)</f>
        <v>0</v>
      </c>
    </row>
    <row r="31" spans="1:3" ht="16" x14ac:dyDescent="0.2">
      <c r="A31" s="3" t="s">
        <v>174</v>
      </c>
      <c r="B31" s="3"/>
      <c r="C31" s="3"/>
    </row>
    <row r="32" spans="1:3" x14ac:dyDescent="0.2">
      <c r="A32" s="25" t="s">
        <v>6</v>
      </c>
      <c r="B32" s="25" t="s">
        <v>160</v>
      </c>
      <c r="C32" s="25" t="s">
        <v>166</v>
      </c>
    </row>
    <row r="33" spans="1:5" x14ac:dyDescent="0.2">
      <c r="A33" s="26" t="s">
        <v>113</v>
      </c>
      <c r="B33" s="27">
        <f>COUNTIF('Parts List'!E5:E56,A33)</f>
        <v>0</v>
      </c>
      <c r="C33" s="28">
        <f>SUMIF('Parts List'!E5:E56,A33,'Parts List'!J5:J56)</f>
        <v>0</v>
      </c>
    </row>
    <row r="34" spans="1:5" x14ac:dyDescent="0.2">
      <c r="A34" s="26" t="s">
        <v>24</v>
      </c>
      <c r="B34" s="27">
        <f>COUNTIF('Parts List'!E5:E56,A34)</f>
        <v>17</v>
      </c>
      <c r="C34" s="28">
        <f>SUMIF('Parts List'!E5:E56,A34,'Parts List'!J5:J56)</f>
        <v>4.7867999999999995</v>
      </c>
    </row>
    <row r="35" spans="1:5" x14ac:dyDescent="0.2">
      <c r="A35" s="26" t="s">
        <v>175</v>
      </c>
      <c r="B35" s="27">
        <f>COUNTIF('Parts List'!E5:E56,A35)</f>
        <v>0</v>
      </c>
      <c r="C35" s="28">
        <f>SUMIF('Parts List'!E5:E56,A35,'Parts List'!J5:J56)</f>
        <v>0</v>
      </c>
    </row>
    <row r="36" spans="1:5" x14ac:dyDescent="0.2">
      <c r="A36" s="26" t="s">
        <v>176</v>
      </c>
      <c r="B36" s="27">
        <f>COUNTIF('Parts List'!E5:E56,A36)</f>
        <v>0</v>
      </c>
      <c r="C36" s="28">
        <f>SUMIF('Parts List'!E5:E56,A36,'Parts List'!J5:J56)</f>
        <v>0</v>
      </c>
    </row>
    <row r="37" spans="1:5" x14ac:dyDescent="0.2">
      <c r="A37" s="26" t="s">
        <v>18</v>
      </c>
      <c r="B37" s="27">
        <f>COUNTIF('Parts List'!E5:E56,A37)</f>
        <v>1</v>
      </c>
      <c r="C37" s="28">
        <f>SUMIF('Parts List'!E5:E56,A37,'Parts List'!J5:J56)</f>
        <v>99</v>
      </c>
    </row>
    <row r="38" spans="1:5" x14ac:dyDescent="0.2">
      <c r="A38" s="26" t="s">
        <v>49</v>
      </c>
      <c r="B38" s="27">
        <f>COUNTIF('Parts List'!E5:E56,A38)</f>
        <v>1</v>
      </c>
      <c r="C38" s="28">
        <f>SUMIF('Parts List'!E5:E56,A38,'Parts List'!J5:J56)</f>
        <v>0</v>
      </c>
    </row>
    <row r="39" spans="1:5" x14ac:dyDescent="0.2">
      <c r="A39" s="26" t="s">
        <v>93</v>
      </c>
      <c r="B39" s="27">
        <f>COUNTIF('Parts List'!E5:E56,A39)</f>
        <v>2</v>
      </c>
      <c r="C39" s="28">
        <f>SUMIF('Parts List'!E5:E56,A39,'Parts List'!J5:J56)</f>
        <v>0</v>
      </c>
    </row>
    <row r="40" spans="1:5" x14ac:dyDescent="0.2">
      <c r="A40" s="26" t="s">
        <v>78</v>
      </c>
      <c r="B40" s="27">
        <f>COUNTIF('Parts List'!E5:E56,A40)</f>
        <v>1</v>
      </c>
      <c r="C40" s="28">
        <f>SUMIF('Parts List'!E5:E56,A40,'Parts List'!J5:J56)</f>
        <v>0</v>
      </c>
    </row>
    <row r="41" spans="1:5" x14ac:dyDescent="0.2">
      <c r="A41" s="26" t="s">
        <v>177</v>
      </c>
      <c r="B41" s="27">
        <f>COUNTIF('Parts List'!E5:E56,A41)</f>
        <v>0</v>
      </c>
      <c r="C41" s="28">
        <f>SUMIF('Parts List'!E5:E56,A41,'Parts List'!J5:J56)</f>
        <v>0</v>
      </c>
    </row>
    <row r="44" spans="1:5" ht="16" x14ac:dyDescent="0.2">
      <c r="A44" s="3" t="s">
        <v>178</v>
      </c>
      <c r="B44" s="3"/>
      <c r="C44" s="3"/>
      <c r="D44" s="3"/>
      <c r="E44" s="3"/>
    </row>
    <row r="45" spans="1:5" ht="19.5" customHeight="1" x14ac:dyDescent="0.2">
      <c r="A45" s="2" t="s">
        <v>179</v>
      </c>
      <c r="B45" s="2"/>
      <c r="C45" s="2"/>
      <c r="D45" s="2"/>
      <c r="E45" s="2"/>
    </row>
    <row r="46" spans="1:5" ht="19.5" customHeight="1" x14ac:dyDescent="0.2">
      <c r="A46" s="2" t="s">
        <v>180</v>
      </c>
      <c r="B46" s="2"/>
      <c r="C46" s="2"/>
      <c r="D46" s="2"/>
      <c r="E46" s="2"/>
    </row>
    <row r="47" spans="1:5" ht="19.5" customHeight="1" x14ac:dyDescent="0.2">
      <c r="A47" s="2" t="s">
        <v>181</v>
      </c>
      <c r="B47" s="2"/>
      <c r="C47" s="2"/>
      <c r="D47" s="2"/>
      <c r="E47" s="2"/>
    </row>
    <row r="48" spans="1:5" ht="19.5" customHeight="1" x14ac:dyDescent="0.2">
      <c r="A48" s="2" t="s">
        <v>182</v>
      </c>
      <c r="B48" s="2"/>
      <c r="C48" s="2"/>
      <c r="D48" s="2"/>
      <c r="E48" s="2"/>
    </row>
    <row r="49" spans="1:5" ht="19.5" customHeight="1" x14ac:dyDescent="0.2">
      <c r="A49" s="2" t="s">
        <v>183</v>
      </c>
      <c r="B49" s="2"/>
      <c r="C49" s="2"/>
      <c r="D49" s="2"/>
      <c r="E49" s="2"/>
    </row>
    <row r="52" spans="1:5" ht="16" x14ac:dyDescent="0.2">
      <c r="A52" s="1" t="s">
        <v>184</v>
      </c>
      <c r="B52" s="1"/>
      <c r="C52" s="1"/>
      <c r="D52" s="1"/>
      <c r="E52" s="1"/>
    </row>
    <row r="53" spans="1:5" x14ac:dyDescent="0.2">
      <c r="A53" s="25" t="s">
        <v>160</v>
      </c>
      <c r="B53" s="25" t="s">
        <v>161</v>
      </c>
      <c r="C53" s="25" t="s">
        <v>162</v>
      </c>
      <c r="D53" s="25" t="s">
        <v>163</v>
      </c>
      <c r="E53" s="25" t="s">
        <v>164</v>
      </c>
    </row>
    <row r="54" spans="1:5" ht="18" x14ac:dyDescent="0.2">
      <c r="A54" s="23">
        <f>COUNTA(Prototype!C5:C51)</f>
        <v>24</v>
      </c>
      <c r="B54" s="23">
        <f>SUM(Prototype!H5:H51)</f>
        <v>676</v>
      </c>
      <c r="C54" s="24">
        <f>SUM(Prototype!J5:J51)</f>
        <v>413.01079999999996</v>
      </c>
      <c r="D54" s="24">
        <f>IFERROR(SUM(Prototype!J5:J51)/SUM(Prototype!H5:H51),0)</f>
        <v>0.6109627218934911</v>
      </c>
      <c r="E54" s="23">
        <f>SUMPRODUCT(((Prototype!E5:E51&lt;&gt;"")/COUNTIF(Prototype!E5:E51,Prototype!E5:E51&amp;"")))</f>
        <v>7</v>
      </c>
    </row>
  </sheetData>
  <mergeCells count="11">
    <mergeCell ref="A52:E52"/>
    <mergeCell ref="A45:E45"/>
    <mergeCell ref="A46:E46"/>
    <mergeCell ref="A47:E47"/>
    <mergeCell ref="A48:E48"/>
    <mergeCell ref="A49:E49"/>
    <mergeCell ref="A1:E1"/>
    <mergeCell ref="A6:C6"/>
    <mergeCell ref="A18:C18"/>
    <mergeCell ref="A31:C31"/>
    <mergeCell ref="A44:E4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Parts List</vt:lpstr>
      <vt:lpstr>Prototype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Wayne Sankey</cp:lastModifiedBy>
  <cp:revision>0</cp:revision>
  <dcterms:created xsi:type="dcterms:W3CDTF">2026-05-17T14:23:29Z</dcterms:created>
  <dcterms:modified xsi:type="dcterms:W3CDTF">2026-05-17T20:10:22Z</dcterms:modified>
  <dc:language>en-US</dc:language>
</cp:coreProperties>
</file>